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hidePivotFieldList="1" defaultThemeVersion="166925"/>
  <mc:AlternateContent xmlns:mc="http://schemas.openxmlformats.org/markup-compatibility/2006">
    <mc:Choice Requires="x15">
      <x15ac:absPath xmlns:x15ac="http://schemas.microsoft.com/office/spreadsheetml/2010/11/ac" url="C:\Users\viswa\Documents\proj\"/>
    </mc:Choice>
  </mc:AlternateContent>
  <xr:revisionPtr revIDLastSave="0" documentId="13_ncr:1_{258F72DE-6131-424F-A415-47C860573B34}" xr6:coauthVersionLast="36" xr6:coauthVersionMax="36" xr10:uidLastSave="{00000000-0000-0000-0000-000000000000}"/>
  <bookViews>
    <workbookView xWindow="0" yWindow="0" windowWidth="18960" windowHeight="8916" xr2:uid="{00000000-000D-0000-FFFF-FFFF00000000}"/>
  </bookViews>
  <sheets>
    <sheet name="sales data proj" sheetId="1" r:id="rId1"/>
    <sheet name="macro" sheetId="2" r:id="rId2"/>
    <sheet name="pv1" sheetId="4" r:id="rId3"/>
    <sheet name="dash" sheetId="5" r:id="rId4"/>
    <sheet name="pv2" sheetId="7" r:id="rId5"/>
    <sheet name="pv3" sheetId="8" r:id="rId6"/>
    <sheet name="pv4" sheetId="9" r:id="rId7"/>
    <sheet name="pv5" sheetId="10" r:id="rId8"/>
    <sheet name="pv6" sheetId="11" r:id="rId9"/>
    <sheet name="table" sheetId="3" r:id="rId10"/>
    <sheet name="Scenario Summary" sheetId="15" r:id="rId11"/>
    <sheet name="goalseek" sheetId="13" r:id="rId12"/>
  </sheets>
  <definedNames>
    <definedName name="_xlcn.WorksheetConnection_EP.xlsxTable31" hidden="1">Table3[]</definedName>
    <definedName name="Slicer_Customer_Type">#N/A</definedName>
    <definedName name="Slicer_Months">#N/A</definedName>
    <definedName name="Slicer_Payment_Method">#N/A</definedName>
    <definedName name="Slicer_Product_Category">#N/A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Table3" connection="WorksheetConnection_E P.xlsx!Table3"/>
          <x15:modelTable id="Calendar" name="Calendar" connection="Connection"/>
        </x15:modelTables>
        <x15:modelRelationships>
          <x15:modelRelationship fromTable="Calendar" fromColumn="Year" toTable="Table3" toColumn="Product_ID"/>
        </x15:modelRelationships>
      </x15:dataModel>
    </ext>
  </extLst>
</workbook>
</file>

<file path=xl/calcChain.xml><?xml version="1.0" encoding="utf-8"?>
<calcChain xmlns="http://schemas.openxmlformats.org/spreadsheetml/2006/main">
  <c r="L4" i="13" l="1"/>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6" i="13"/>
  <c r="L47" i="13"/>
  <c r="L48" i="13"/>
  <c r="L49" i="13"/>
  <c r="L50" i="13"/>
  <c r="L51" i="13"/>
  <c r="L52" i="13"/>
  <c r="L53" i="13"/>
  <c r="L54" i="13"/>
  <c r="L55" i="13"/>
  <c r="L56" i="13"/>
  <c r="L57" i="13"/>
  <c r="L58" i="13"/>
  <c r="L59"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3" i="13"/>
  <c r="L2" i="13"/>
  <c r="M2" i="13"/>
  <c r="L2" i="3"/>
  <c r="N97" i="2"/>
  <c r="F100" i="2"/>
  <c r="E98" i="2"/>
  <c r="L2" i="2"/>
  <c r="E96" i="2"/>
  <c r="H94" i="2"/>
  <c r="I94" i="2"/>
  <c r="J94" i="2"/>
  <c r="K94" i="2"/>
  <c r="G94" i="2"/>
  <c r="G91" i="2"/>
  <c r="H93" i="2"/>
  <c r="I93" i="2"/>
  <c r="J93" i="2"/>
  <c r="K93" i="2"/>
  <c r="G93" i="2"/>
  <c r="H92" i="2"/>
  <c r="I92" i="2"/>
  <c r="J92" i="2"/>
  <c r="K92" i="2"/>
  <c r="G92" i="2"/>
  <c r="H91" i="2"/>
  <c r="I91" i="2"/>
  <c r="J91" i="2"/>
  <c r="K9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CA751B-E960-41F7-8C4F-89C3B82A99CC}" name="Connection" type="104" refreshedVersion="0" background="1">
    <extLst>
      <ext xmlns:x15="http://schemas.microsoft.com/office/spreadsheetml/2010/11/main" uri="{DE250136-89BD-433C-8126-D09CA5730AF9}">
        <x15:connection id="Calendar"/>
      </ext>
    </extLst>
  </connection>
  <connection id="2"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0000000-0015-0000-FFFF-FFFF01000000}" name="WorksheetConnection_E P.xlsx!Table3" type="102" refreshedVersion="6" minRefreshableVersion="5">
    <extLst>
      <ext xmlns:x15="http://schemas.microsoft.com/office/spreadsheetml/2010/11/main" uri="{DE250136-89BD-433C-8126-D09CA5730AF9}">
        <x15:connection id="Table3">
          <x15:rangePr sourceName="_xlcn.WorksheetConnection_EP.xlsxTable31"/>
        </x15:connection>
      </ext>
    </extLst>
  </connection>
</connections>
</file>

<file path=xl/sharedStrings.xml><?xml version="1.0" encoding="utf-8"?>
<sst xmlns="http://schemas.openxmlformats.org/spreadsheetml/2006/main" count="2961" uniqueCount="100">
  <si>
    <t>Product_ID</t>
  </si>
  <si>
    <t>Sale_Date</t>
  </si>
  <si>
    <t>Sales_Rep</t>
  </si>
  <si>
    <t>Region</t>
  </si>
  <si>
    <t>Quantity_Sold</t>
  </si>
  <si>
    <t>Product_Category</t>
  </si>
  <si>
    <t>Sales_Amount</t>
  </si>
  <si>
    <t>Unit_Cost</t>
  </si>
  <si>
    <t>Unit_Price</t>
  </si>
  <si>
    <t>Profit</t>
  </si>
  <si>
    <t>Discount</t>
  </si>
  <si>
    <t>Profit Status</t>
  </si>
  <si>
    <t>Customer_Type</t>
  </si>
  <si>
    <t>Payment_Method</t>
  </si>
  <si>
    <t>Sales_Channel</t>
  </si>
  <si>
    <t>Region_and_Sales_Rep</t>
  </si>
  <si>
    <t>Eve</t>
  </si>
  <si>
    <t>North</t>
  </si>
  <si>
    <t>Clothing</t>
  </si>
  <si>
    <t xml:space="preserve"> High Profit</t>
  </si>
  <si>
    <t>Returning</t>
  </si>
  <si>
    <t>Cash</t>
  </si>
  <si>
    <t>Online</t>
  </si>
  <si>
    <t>North-Eve</t>
  </si>
  <si>
    <t>East</t>
  </si>
  <si>
    <t>Electronics</t>
  </si>
  <si>
    <t>Low Profit</t>
  </si>
  <si>
    <t>New</t>
  </si>
  <si>
    <t>East-Eve</t>
  </si>
  <si>
    <t>South</t>
  </si>
  <si>
    <t>Furniture</t>
  </si>
  <si>
    <t>Bank Transfer</t>
  </si>
  <si>
    <t>South-Eve</t>
  </si>
  <si>
    <t>Bob</t>
  </si>
  <si>
    <t>West</t>
  </si>
  <si>
    <t>Food</t>
  </si>
  <si>
    <t>Retail</t>
  </si>
  <si>
    <t>West-Bob</t>
  </si>
  <si>
    <t>North-Bob</t>
  </si>
  <si>
    <t>Alice</t>
  </si>
  <si>
    <t>East-Alice</t>
  </si>
  <si>
    <t>North-Alice</t>
  </si>
  <si>
    <t>Credit Card</t>
  </si>
  <si>
    <t>West-Alice</t>
  </si>
  <si>
    <t>Charlie</t>
  </si>
  <si>
    <t>South-Charlie</t>
  </si>
  <si>
    <t>David</t>
  </si>
  <si>
    <t>East-David</t>
  </si>
  <si>
    <t>West-David</t>
  </si>
  <si>
    <t>West-Charlie</t>
  </si>
  <si>
    <t>South-David</t>
  </si>
  <si>
    <t>West-Eve</t>
  </si>
  <si>
    <t>East-Charlie</t>
  </si>
  <si>
    <t>South-Bob</t>
  </si>
  <si>
    <t>South-Alice</t>
  </si>
  <si>
    <t>North-David</t>
  </si>
  <si>
    <t>East-Bob</t>
  </si>
  <si>
    <t>North-Charlie</t>
  </si>
  <si>
    <t>TOTAL SUM</t>
  </si>
  <si>
    <t>AVERAGE</t>
  </si>
  <si>
    <t>MIN</t>
  </si>
  <si>
    <t>MAX</t>
  </si>
  <si>
    <t>count of quantity</t>
  </si>
  <si>
    <t>Cell with alice</t>
  </si>
  <si>
    <t>cell of food</t>
  </si>
  <si>
    <t>iferror/vlookup</t>
  </si>
  <si>
    <t>Row Labels</t>
  </si>
  <si>
    <t>Grand Total</t>
  </si>
  <si>
    <t>Sum of Sales_Amount</t>
  </si>
  <si>
    <t>Sum of Quantity_Sold</t>
  </si>
  <si>
    <t>Sum of Profit</t>
  </si>
  <si>
    <t>Jan</t>
  </si>
  <si>
    <t>Feb</t>
  </si>
  <si>
    <t>Mar</t>
  </si>
  <si>
    <t>Apr</t>
  </si>
  <si>
    <t>May</t>
  </si>
  <si>
    <t>Jun</t>
  </si>
  <si>
    <t>Jul</t>
  </si>
  <si>
    <t>Aug</t>
  </si>
  <si>
    <t>Sep</t>
  </si>
  <si>
    <t>Oct</t>
  </si>
  <si>
    <t>Nov</t>
  </si>
  <si>
    <t>Dec</t>
  </si>
  <si>
    <t>Sum of Product_ID</t>
  </si>
  <si>
    <t>Column Labels</t>
  </si>
  <si>
    <t>Sum of Sales</t>
  </si>
  <si>
    <t>$I$89</t>
  </si>
  <si>
    <t>$L$89</t>
  </si>
  <si>
    <t>best</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</si>
  <si>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</si>
  <si>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</si>
  <si>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</si>
  <si>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</si>
  <si>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</si>
  <si>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</si>
  <si>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</si>
  <si>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 xml:space="preserve">b
</t>
  </si>
  <si>
    <t>worst</t>
  </si>
  <si>
    <t>w</t>
  </si>
  <si>
    <t>SALES PERFORMANCE DATA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</si>
</sst>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7" formatCode="&quot;₹&quot;\ #,##0.00;&quot;₹&quot;\ \-#,##0.00"/>
    <numFmt numFmtId="8" formatCode="&quot;₹&quot;\ #,##0.00;[Red]&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1"/>
      <color rgb="FF000000"/>
      <name val="Calibri"/>
      <family val="2"/>
    </font>
    <font>
      <b/>
      <sz val="20"/>
      <color theme="1"/>
      <name val="Arial Black"/>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34998626667073579"/>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0">
    <xf numFmtId="0" fontId="0" fillId="0" borderId="0" xfId="0"/>
    <xf numFmtId="14" fontId="0" fillId="0" borderId="0" xfId="0" applyNumberFormat="1"/>
    <xf numFmtId="7" fontId="0" fillId="0" borderId="0" xfId="0" applyNumberFormat="1" applyFont="1" applyAlignment="1"/>
    <xf numFmtId="2" fontId="0" fillId="0" borderId="0" xfId="0" applyNumberFormat="1" applyFont="1" applyAlignment="1"/>
    <xf numFmtId="0" fontId="16" fillId="0" borderId="0" xfId="0" applyFont="1"/>
    <xf numFmtId="7" fontId="16" fillId="0" borderId="0" xfId="0" applyNumberFormat="1" applyFont="1" applyAlignmen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34" borderId="0" xfId="0" applyFill="1" applyAlignment="1"/>
    <xf numFmtId="0" fontId="13" fillId="7" borderId="7" xfId="13"/>
    <xf numFmtId="7" fontId="11" fillId="6" borderId="4" xfId="11" applyNumberFormat="1" applyAlignment="1"/>
    <xf numFmtId="0" fontId="11" fillId="6" borderId="4" xfId="11"/>
    <xf numFmtId="0" fontId="0" fillId="0" borderId="0" xfId="0" applyFill="1" applyBorder="1" applyAlignment="1"/>
    <xf numFmtId="7" fontId="0" fillId="0" borderId="0" xfId="0" applyNumberFormat="1" applyFill="1" applyBorder="1" applyAlignment="1"/>
    <xf numFmtId="7" fontId="0" fillId="0" borderId="11" xfId="0" applyNumberFormat="1" applyFill="1" applyBorder="1" applyAlignment="1"/>
    <xf numFmtId="0" fontId="18" fillId="35" borderId="12" xfId="0" applyFont="1" applyFill="1" applyBorder="1" applyAlignment="1">
      <alignment horizontal="left"/>
    </xf>
    <xf numFmtId="0" fontId="18" fillId="35" borderId="10" xfId="0" applyFont="1" applyFill="1" applyBorder="1" applyAlignment="1">
      <alignment horizontal="left"/>
    </xf>
    <xf numFmtId="0" fontId="0" fillId="0" borderId="13" xfId="0" applyFill="1" applyBorder="1" applyAlignment="1"/>
    <xf numFmtId="0" fontId="19" fillId="36" borderId="0" xfId="0" applyFont="1" applyFill="1" applyBorder="1" applyAlignment="1">
      <alignment horizontal="left"/>
    </xf>
    <xf numFmtId="0" fontId="20" fillId="36" borderId="13" xfId="0" applyFont="1" applyFill="1" applyBorder="1" applyAlignment="1">
      <alignment horizontal="left"/>
    </xf>
    <xf numFmtId="0" fontId="19" fillId="36" borderId="11" xfId="0" applyFont="1" applyFill="1" applyBorder="1" applyAlignment="1">
      <alignment horizontal="left"/>
    </xf>
    <xf numFmtId="0" fontId="21" fillId="35" borderId="10" xfId="0" applyFont="1" applyFill="1" applyBorder="1" applyAlignment="1">
      <alignment horizontal="right"/>
    </xf>
    <xf numFmtId="0" fontId="21" fillId="35" borderId="12" xfId="0" applyFont="1" applyFill="1" applyBorder="1" applyAlignment="1">
      <alignment horizontal="right"/>
    </xf>
    <xf numFmtId="7" fontId="0" fillId="37" borderId="0" xfId="0" applyNumberFormat="1" applyFill="1" applyBorder="1" applyAlignment="1"/>
    <xf numFmtId="0" fontId="22" fillId="0" borderId="0" xfId="0" applyFont="1" applyFill="1" applyBorder="1" applyAlignment="1">
      <alignment vertical="top" wrapText="1"/>
    </xf>
    <xf numFmtId="8" fontId="0" fillId="0" borderId="0" xfId="0" applyNumberFormat="1"/>
    <xf numFmtId="0" fontId="0" fillId="34" borderId="0" xfId="0" applyFill="1" applyAlignment="1">
      <alignment horizontal="center"/>
    </xf>
    <xf numFmtId="0" fontId="24"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numFmt numFmtId="19" formatCode="dd/mm/yyyy"/>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1" formatCode="&quot;₹&quot;\ #,##0.00;&quot;₹&quot;\ \-#,##0.00"/>
      <alignment horizontal="general" vertical="bottom" textRotation="0" wrapText="0" indent="0" justifyLastLine="0" shrinkToFit="0" readingOrder="0"/>
    </dxf>
    <dxf>
      <numFmt numFmtId="19" formatCode="dd/mm/yy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Analysis.xlsx]pv1!PivotTable1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9780314960629922"/>
          <c:y val="0.16708333333333336"/>
          <c:w val="0.71299715660542418"/>
          <c:h val="0.67098242927967333"/>
        </c:manualLayout>
      </c:layout>
      <c:barChart>
        <c:barDir val="col"/>
        <c:grouping val="clustered"/>
        <c:varyColors val="0"/>
        <c:ser>
          <c:idx val="0"/>
          <c:order val="0"/>
          <c:tx>
            <c:strRef>
              <c:f>'pv1'!$B$3</c:f>
              <c:strCache>
                <c:ptCount val="1"/>
                <c:pt idx="0">
                  <c:v>Sum of Sales_Amount</c:v>
                </c:pt>
              </c:strCache>
            </c:strRef>
          </c:tx>
          <c:spPr>
            <a:solidFill>
              <a:schemeClr val="accent1">
                <a:tint val="77000"/>
              </a:schemeClr>
            </a:solidFill>
            <a:ln>
              <a:noFill/>
            </a:ln>
            <a:effectLst/>
          </c:spPr>
          <c:invertIfNegative val="0"/>
          <c:cat>
            <c:strRef>
              <c:f>'pv1'!$A$4:$A$8</c:f>
              <c:strCache>
                <c:ptCount val="4"/>
                <c:pt idx="0">
                  <c:v>East</c:v>
                </c:pt>
                <c:pt idx="1">
                  <c:v>North</c:v>
                </c:pt>
                <c:pt idx="2">
                  <c:v>South</c:v>
                </c:pt>
                <c:pt idx="3">
                  <c:v>West</c:v>
                </c:pt>
              </c:strCache>
            </c:strRef>
          </c:cat>
          <c:val>
            <c:numRef>
              <c:f>'pv1'!$B$4:$B$8</c:f>
              <c:numCache>
                <c:formatCode>General</c:formatCode>
                <c:ptCount val="4"/>
                <c:pt idx="0">
                  <c:v>121343.35000000002</c:v>
                </c:pt>
                <c:pt idx="1">
                  <c:v>112057.86</c:v>
                </c:pt>
                <c:pt idx="2">
                  <c:v>91447.269999999975</c:v>
                </c:pt>
                <c:pt idx="3">
                  <c:v>93234.520000000019</c:v>
                </c:pt>
              </c:numCache>
            </c:numRef>
          </c:val>
          <c:extLst>
            <c:ext xmlns:c16="http://schemas.microsoft.com/office/drawing/2014/chart" uri="{C3380CC4-5D6E-409C-BE32-E72D297353CC}">
              <c16:uniqueId val="{00000000-3229-4740-99EC-C7E111A9CACA}"/>
            </c:ext>
          </c:extLst>
        </c:ser>
        <c:ser>
          <c:idx val="1"/>
          <c:order val="1"/>
          <c:tx>
            <c:strRef>
              <c:f>'pv1'!$C$3</c:f>
              <c:strCache>
                <c:ptCount val="1"/>
                <c:pt idx="0">
                  <c:v>Sum of Profit</c:v>
                </c:pt>
              </c:strCache>
            </c:strRef>
          </c:tx>
          <c:spPr>
            <a:solidFill>
              <a:schemeClr val="accent1">
                <a:shade val="76000"/>
              </a:schemeClr>
            </a:solidFill>
            <a:ln>
              <a:noFill/>
            </a:ln>
            <a:effectLst/>
          </c:spPr>
          <c:invertIfNegative val="0"/>
          <c:cat>
            <c:strRef>
              <c:f>'pv1'!$A$4:$A$8</c:f>
              <c:strCache>
                <c:ptCount val="4"/>
                <c:pt idx="0">
                  <c:v>East</c:v>
                </c:pt>
                <c:pt idx="1">
                  <c:v>North</c:v>
                </c:pt>
                <c:pt idx="2">
                  <c:v>South</c:v>
                </c:pt>
                <c:pt idx="3">
                  <c:v>West</c:v>
                </c:pt>
              </c:strCache>
            </c:strRef>
          </c:cat>
          <c:val>
            <c:numRef>
              <c:f>'pv1'!$C$4:$C$8</c:f>
              <c:numCache>
                <c:formatCode>General</c:formatCode>
                <c:ptCount val="4"/>
                <c:pt idx="0">
                  <c:v>129559.15000000002</c:v>
                </c:pt>
                <c:pt idx="1">
                  <c:v>147799.87000000002</c:v>
                </c:pt>
                <c:pt idx="2">
                  <c:v>152494.62999999998</c:v>
                </c:pt>
                <c:pt idx="3">
                  <c:v>138066.94999999998</c:v>
                </c:pt>
              </c:numCache>
            </c:numRef>
          </c:val>
          <c:extLst>
            <c:ext xmlns:c16="http://schemas.microsoft.com/office/drawing/2014/chart" uri="{C3380CC4-5D6E-409C-BE32-E72D297353CC}">
              <c16:uniqueId val="{00000001-3229-4740-99EC-C7E111A9CACA}"/>
            </c:ext>
          </c:extLst>
        </c:ser>
        <c:dLbls>
          <c:showLegendKey val="0"/>
          <c:showVal val="0"/>
          <c:showCatName val="0"/>
          <c:showSerName val="0"/>
          <c:showPercent val="0"/>
          <c:showBubbleSize val="0"/>
        </c:dLbls>
        <c:gapWidth val="219"/>
        <c:overlap val="-27"/>
        <c:axId val="2100995679"/>
        <c:axId val="2099278831"/>
      </c:barChart>
      <c:catAx>
        <c:axId val="210099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78831"/>
        <c:crosses val="autoZero"/>
        <c:auto val="1"/>
        <c:lblAlgn val="ctr"/>
        <c:lblOffset val="100"/>
        <c:noMultiLvlLbl val="0"/>
      </c:catAx>
      <c:valAx>
        <c:axId val="2099278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95679"/>
        <c:crosses val="autoZero"/>
        <c:crossBetween val="between"/>
      </c:valAx>
      <c:spPr>
        <a:noFill/>
        <a:ln>
          <a:noFill/>
        </a:ln>
        <a:effectLst/>
      </c:spPr>
    </c:plotArea>
    <c:legend>
      <c:legendPos val="r"/>
      <c:layout>
        <c:manualLayout>
          <c:xMode val="edge"/>
          <c:yMode val="edge"/>
          <c:x val="0.70802252843394586"/>
          <c:y val="2.907443861184018E-2"/>
          <c:w val="0.26697747156605423"/>
          <c:h val="0.119214056576261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 Analysis.xlsx]pv1!PivotTable1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manualLayout>
          <c:layoutTarget val="inner"/>
          <c:xMode val="edge"/>
          <c:yMode val="edge"/>
          <c:x val="0.19780314960629922"/>
          <c:y val="0.16708333333333336"/>
          <c:w val="0.71299715660542418"/>
          <c:h val="0.67098242927967333"/>
        </c:manualLayout>
      </c:layout>
      <c:barChart>
        <c:barDir val="col"/>
        <c:grouping val="clustered"/>
        <c:varyColors val="0"/>
        <c:ser>
          <c:idx val="0"/>
          <c:order val="0"/>
          <c:tx>
            <c:strRef>
              <c:f>'pv1'!$B$3</c:f>
              <c:strCache>
                <c:ptCount val="1"/>
                <c:pt idx="0">
                  <c:v>Sum of Sales_Amount</c:v>
                </c:pt>
              </c:strCache>
            </c:strRef>
          </c:tx>
          <c:spPr>
            <a:solidFill>
              <a:schemeClr val="accent1">
                <a:tint val="77000"/>
              </a:schemeClr>
            </a:solidFill>
            <a:ln>
              <a:noFill/>
            </a:ln>
            <a:effectLst/>
          </c:spPr>
          <c:invertIfNegative val="0"/>
          <c:cat>
            <c:strRef>
              <c:f>'pv1'!$A$4:$A$8</c:f>
              <c:strCache>
                <c:ptCount val="4"/>
                <c:pt idx="0">
                  <c:v>East</c:v>
                </c:pt>
                <c:pt idx="1">
                  <c:v>North</c:v>
                </c:pt>
                <c:pt idx="2">
                  <c:v>South</c:v>
                </c:pt>
                <c:pt idx="3">
                  <c:v>West</c:v>
                </c:pt>
              </c:strCache>
            </c:strRef>
          </c:cat>
          <c:val>
            <c:numRef>
              <c:f>'pv1'!$B$4:$B$8</c:f>
              <c:numCache>
                <c:formatCode>General</c:formatCode>
                <c:ptCount val="4"/>
                <c:pt idx="0">
                  <c:v>121343.35000000002</c:v>
                </c:pt>
                <c:pt idx="1">
                  <c:v>112057.86</c:v>
                </c:pt>
                <c:pt idx="2">
                  <c:v>91447.269999999975</c:v>
                </c:pt>
                <c:pt idx="3">
                  <c:v>93234.520000000019</c:v>
                </c:pt>
              </c:numCache>
            </c:numRef>
          </c:val>
          <c:extLst>
            <c:ext xmlns:c16="http://schemas.microsoft.com/office/drawing/2014/chart" uri="{C3380CC4-5D6E-409C-BE32-E72D297353CC}">
              <c16:uniqueId val="{00000000-F5CF-4C51-B3C4-B5201EC8BE45}"/>
            </c:ext>
          </c:extLst>
        </c:ser>
        <c:ser>
          <c:idx val="1"/>
          <c:order val="1"/>
          <c:tx>
            <c:strRef>
              <c:f>'pv1'!$C$3</c:f>
              <c:strCache>
                <c:ptCount val="1"/>
                <c:pt idx="0">
                  <c:v>Sum of Profit</c:v>
                </c:pt>
              </c:strCache>
            </c:strRef>
          </c:tx>
          <c:spPr>
            <a:solidFill>
              <a:schemeClr val="accent1">
                <a:shade val="76000"/>
              </a:schemeClr>
            </a:solidFill>
            <a:ln>
              <a:noFill/>
            </a:ln>
            <a:effectLst/>
          </c:spPr>
          <c:invertIfNegative val="0"/>
          <c:cat>
            <c:strRef>
              <c:f>'pv1'!$A$4:$A$8</c:f>
              <c:strCache>
                <c:ptCount val="4"/>
                <c:pt idx="0">
                  <c:v>East</c:v>
                </c:pt>
                <c:pt idx="1">
                  <c:v>North</c:v>
                </c:pt>
                <c:pt idx="2">
                  <c:v>South</c:v>
                </c:pt>
                <c:pt idx="3">
                  <c:v>West</c:v>
                </c:pt>
              </c:strCache>
            </c:strRef>
          </c:cat>
          <c:val>
            <c:numRef>
              <c:f>'pv1'!$C$4:$C$8</c:f>
              <c:numCache>
                <c:formatCode>General</c:formatCode>
                <c:ptCount val="4"/>
                <c:pt idx="0">
                  <c:v>129559.15000000002</c:v>
                </c:pt>
                <c:pt idx="1">
                  <c:v>147799.87000000002</c:v>
                </c:pt>
                <c:pt idx="2">
                  <c:v>152494.62999999998</c:v>
                </c:pt>
                <c:pt idx="3">
                  <c:v>138066.94999999998</c:v>
                </c:pt>
              </c:numCache>
            </c:numRef>
          </c:val>
          <c:extLst>
            <c:ext xmlns:c16="http://schemas.microsoft.com/office/drawing/2014/chart" uri="{C3380CC4-5D6E-409C-BE32-E72D297353CC}">
              <c16:uniqueId val="{00000001-F5CF-4C51-B3C4-B5201EC8BE45}"/>
            </c:ext>
          </c:extLst>
        </c:ser>
        <c:dLbls>
          <c:showLegendKey val="0"/>
          <c:showVal val="0"/>
          <c:showCatName val="0"/>
          <c:showSerName val="0"/>
          <c:showPercent val="0"/>
          <c:showBubbleSize val="0"/>
        </c:dLbls>
        <c:gapWidth val="219"/>
        <c:overlap val="-27"/>
        <c:axId val="2100995679"/>
        <c:axId val="2099278831"/>
      </c:barChart>
      <c:catAx>
        <c:axId val="21009956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78831"/>
        <c:crosses val="autoZero"/>
        <c:auto val="1"/>
        <c:lblAlgn val="ctr"/>
        <c:lblOffset val="100"/>
        <c:noMultiLvlLbl val="0"/>
      </c:catAx>
      <c:valAx>
        <c:axId val="209927883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95679"/>
        <c:crosses val="autoZero"/>
        <c:crossBetween val="between"/>
      </c:valAx>
      <c:spPr>
        <a:noFill/>
        <a:ln>
          <a:noFill/>
        </a:ln>
        <a:effectLst/>
      </c:spPr>
    </c:plotArea>
    <c:legend>
      <c:legendPos val="r"/>
      <c:layout>
        <c:manualLayout>
          <c:xMode val="edge"/>
          <c:yMode val="edge"/>
          <c:x val="0.70802252843394586"/>
          <c:y val="2.907443861184018E-2"/>
          <c:w val="0.26697747156605423"/>
          <c:h val="0.202087049201722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365113735783021"/>
          <c:y val="0.17171296296296296"/>
          <c:w val="0.57973775153105866"/>
          <c:h val="0.72088764946048411"/>
        </c:manualLayout>
      </c:layout>
      <c:bar3DChart>
        <c:barDir val="bar"/>
        <c:grouping val="clustered"/>
        <c:varyColors val="0"/>
        <c:ser>
          <c:idx val="0"/>
          <c:order val="0"/>
          <c:tx>
            <c:strRef>
              <c:f>'pv2'!$B$3</c:f>
              <c:strCache>
                <c:ptCount val="1"/>
                <c:pt idx="0">
                  <c:v>Sum of Sales_Amount</c:v>
                </c:pt>
              </c:strCache>
            </c:strRef>
          </c:tx>
          <c:spPr>
            <a:solidFill>
              <a:schemeClr val="accent1"/>
            </a:solidFill>
            <a:ln>
              <a:noFill/>
            </a:ln>
            <a:effectLst/>
            <a:sp3d/>
          </c:spPr>
          <c:invertIfNegative val="0"/>
          <c:cat>
            <c:strRef>
              <c:f>'pv2'!$A$4:$A$8</c:f>
              <c:strCache>
                <c:ptCount val="4"/>
                <c:pt idx="0">
                  <c:v>Clothing</c:v>
                </c:pt>
                <c:pt idx="1">
                  <c:v>Electronics</c:v>
                </c:pt>
                <c:pt idx="2">
                  <c:v>Food</c:v>
                </c:pt>
                <c:pt idx="3">
                  <c:v>Furniture</c:v>
                </c:pt>
              </c:strCache>
            </c:strRef>
          </c:cat>
          <c:val>
            <c:numRef>
              <c:f>'pv2'!$B$4:$B$8</c:f>
              <c:numCache>
                <c:formatCode>General</c:formatCode>
                <c:ptCount val="4"/>
                <c:pt idx="0">
                  <c:v>105328.20999999999</c:v>
                </c:pt>
                <c:pt idx="1">
                  <c:v>77118.12999999999</c:v>
                </c:pt>
                <c:pt idx="2">
                  <c:v>121774.81999999999</c:v>
                </c:pt>
                <c:pt idx="3">
                  <c:v>113861.84000000001</c:v>
                </c:pt>
              </c:numCache>
            </c:numRef>
          </c:val>
          <c:extLst>
            <c:ext xmlns:c16="http://schemas.microsoft.com/office/drawing/2014/chart" uri="{C3380CC4-5D6E-409C-BE32-E72D297353CC}">
              <c16:uniqueId val="{00000000-3E2F-48A5-8941-BBBBDE882460}"/>
            </c:ext>
          </c:extLst>
        </c:ser>
        <c:ser>
          <c:idx val="1"/>
          <c:order val="1"/>
          <c:tx>
            <c:strRef>
              <c:f>'pv2'!$C$3</c:f>
              <c:strCache>
                <c:ptCount val="1"/>
                <c:pt idx="0">
                  <c:v>Sum of Quantity_Sold</c:v>
                </c:pt>
              </c:strCache>
            </c:strRef>
          </c:tx>
          <c:spPr>
            <a:solidFill>
              <a:schemeClr val="accent2"/>
            </a:solidFill>
            <a:ln>
              <a:noFill/>
            </a:ln>
            <a:effectLst/>
            <a:sp3d/>
          </c:spPr>
          <c:invertIfNegative val="0"/>
          <c:cat>
            <c:strRef>
              <c:f>'pv2'!$A$4:$A$8</c:f>
              <c:strCache>
                <c:ptCount val="4"/>
                <c:pt idx="0">
                  <c:v>Clothing</c:v>
                </c:pt>
                <c:pt idx="1">
                  <c:v>Electronics</c:v>
                </c:pt>
                <c:pt idx="2">
                  <c:v>Food</c:v>
                </c:pt>
                <c:pt idx="3">
                  <c:v>Furniture</c:v>
                </c:pt>
              </c:strCache>
            </c:strRef>
          </c:cat>
          <c:val>
            <c:numRef>
              <c:f>'pv2'!$C$4:$C$8</c:f>
              <c:numCache>
                <c:formatCode>General</c:formatCode>
                <c:ptCount val="4"/>
                <c:pt idx="0">
                  <c:v>637</c:v>
                </c:pt>
                <c:pt idx="1">
                  <c:v>441</c:v>
                </c:pt>
                <c:pt idx="2">
                  <c:v>615</c:v>
                </c:pt>
                <c:pt idx="3">
                  <c:v>646.33000000000004</c:v>
                </c:pt>
              </c:numCache>
            </c:numRef>
          </c:val>
          <c:extLst>
            <c:ext xmlns:c16="http://schemas.microsoft.com/office/drawing/2014/chart" uri="{C3380CC4-5D6E-409C-BE32-E72D297353CC}">
              <c16:uniqueId val="{00000001-3E2F-48A5-8941-BBBBDE882460}"/>
            </c:ext>
          </c:extLst>
        </c:ser>
        <c:dLbls>
          <c:showLegendKey val="0"/>
          <c:showVal val="0"/>
          <c:showCatName val="0"/>
          <c:showSerName val="0"/>
          <c:showPercent val="0"/>
          <c:showBubbleSize val="0"/>
        </c:dLbls>
        <c:gapWidth val="182"/>
        <c:shape val="box"/>
        <c:axId val="2100901327"/>
        <c:axId val="241342207"/>
        <c:axId val="0"/>
      </c:bar3DChart>
      <c:catAx>
        <c:axId val="210090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42207"/>
        <c:crosses val="autoZero"/>
        <c:auto val="1"/>
        <c:lblAlgn val="ctr"/>
        <c:lblOffset val="100"/>
        <c:noMultiLvlLbl val="0"/>
      </c:catAx>
      <c:valAx>
        <c:axId val="24134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01327"/>
        <c:crosses val="autoZero"/>
        <c:crossBetween val="between"/>
      </c:valAx>
      <c:spPr>
        <a:noFill/>
        <a:ln>
          <a:noFill/>
        </a:ln>
        <a:effectLst/>
      </c:spPr>
    </c:plotArea>
    <c:legend>
      <c:legendPos val="r"/>
      <c:layout>
        <c:manualLayout>
          <c:xMode val="edge"/>
          <c:yMode val="edge"/>
          <c:x val="0.73472222222222228"/>
          <c:y val="0.12173483522892972"/>
          <c:w val="0.26250000000000001"/>
          <c:h val="0.237726967882957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'pv3'!$B$3</c:f>
              <c:strCache>
                <c:ptCount val="1"/>
                <c:pt idx="0">
                  <c:v>Total</c:v>
                </c:pt>
              </c:strCache>
            </c:strRef>
          </c:tx>
          <c:spPr>
            <a:ln w="28575" cap="rnd">
              <a:solidFill>
                <a:schemeClr val="accent1"/>
              </a:solidFill>
              <a:round/>
            </a:ln>
            <a:effectLst/>
          </c:spPr>
          <c:marker>
            <c:symbol val="none"/>
          </c:marker>
          <c:cat>
            <c:strRef>
              <c:f>'pv3'!$A$4:$A$16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'pv3'!$B$4:$B$16</c:f>
              <c:numCache>
                <c:formatCode>General</c:formatCode>
                <c:ptCount val="12"/>
                <c:pt idx="0">
                  <c:v>51461.819999999992</c:v>
                </c:pt>
                <c:pt idx="1">
                  <c:v>29305.320000000007</c:v>
                </c:pt>
                <c:pt idx="2">
                  <c:v>45592.06</c:v>
                </c:pt>
                <c:pt idx="3">
                  <c:v>8417.51</c:v>
                </c:pt>
                <c:pt idx="4">
                  <c:v>42683.040000000001</c:v>
                </c:pt>
                <c:pt idx="5">
                  <c:v>37820.97</c:v>
                </c:pt>
                <c:pt idx="6">
                  <c:v>19600.04</c:v>
                </c:pt>
                <c:pt idx="7">
                  <c:v>17005.5</c:v>
                </c:pt>
                <c:pt idx="8">
                  <c:v>46822.04</c:v>
                </c:pt>
                <c:pt idx="9">
                  <c:v>36769.22</c:v>
                </c:pt>
                <c:pt idx="10">
                  <c:v>59418.250000000007</c:v>
                </c:pt>
                <c:pt idx="11">
                  <c:v>23187.23</c:v>
                </c:pt>
              </c:numCache>
            </c:numRef>
          </c:val>
          <c:smooth val="0"/>
          <c:extLst>
            <c:ext xmlns:c16="http://schemas.microsoft.com/office/drawing/2014/chart" uri="{C3380CC4-5D6E-409C-BE32-E72D297353CC}">
              <c16:uniqueId val="{00000000-B8EC-4A7A-8180-FD9B5DD2255F}"/>
            </c:ext>
          </c:extLst>
        </c:ser>
        <c:dLbls>
          <c:showLegendKey val="0"/>
          <c:showVal val="0"/>
          <c:showCatName val="0"/>
          <c:showSerName val="0"/>
          <c:showPercent val="0"/>
          <c:showBubbleSize val="0"/>
        </c:dLbls>
        <c:smooth val="0"/>
        <c:axId val="157683135"/>
        <c:axId val="2100044751"/>
      </c:lineChart>
      <c:catAx>
        <c:axId val="1576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44751"/>
        <c:crosses val="autoZero"/>
        <c:auto val="1"/>
        <c:lblAlgn val="ctr"/>
        <c:lblOffset val="100"/>
        <c:noMultiLvlLbl val="0"/>
      </c:catAx>
      <c:valAx>
        <c:axId val="2100044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790736793259961"/>
          <c:y val="0.19460680395719765"/>
          <c:w val="0.48308333333333331"/>
          <c:h val="0.80513888888888885"/>
        </c:manualLayout>
      </c:layout>
      <c:pie3DChart>
        <c:varyColors val="1"/>
        <c:ser>
          <c:idx val="0"/>
          <c:order val="0"/>
          <c:tx>
            <c:strRef>
              <c:f>'pv4'!$B$3</c:f>
              <c:strCache>
                <c:ptCount val="1"/>
                <c:pt idx="0">
                  <c:v>Sum of Product_ID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A2-46F6-B6AE-9D13FE37C2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A2-46F6-B6AE-9D13FE37C2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A2-46F6-B6AE-9D13FE37C2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'pv4'!$A$4:$A$7</c:f>
              <c:strCache>
                <c:ptCount val="3"/>
                <c:pt idx="0">
                  <c:v>Bank Transfer</c:v>
                </c:pt>
                <c:pt idx="1">
                  <c:v>Cash</c:v>
                </c:pt>
                <c:pt idx="2">
                  <c:v>Credit Card</c:v>
                </c:pt>
              </c:strCache>
            </c:strRef>
          </c:cat>
          <c:val>
            <c:numRef>
              <c:f>'pv4'!$B$4:$B$7</c:f>
              <c:numCache>
                <c:formatCode>General</c:formatCode>
                <c:ptCount val="3"/>
                <c:pt idx="0">
                  <c:v>39976</c:v>
                </c:pt>
                <c:pt idx="1">
                  <c:v>26083</c:v>
                </c:pt>
                <c:pt idx="2">
                  <c:v>26273</c:v>
                </c:pt>
              </c:numCache>
            </c:numRef>
          </c:val>
          <c:extLst>
            <c:ext xmlns:c16="http://schemas.microsoft.com/office/drawing/2014/chart" uri="{C3380CC4-5D6E-409C-BE32-E72D297353CC}">
              <c16:uniqueId val="{00000006-A2A2-46F6-B6AE-9D13FE37C29C}"/>
            </c:ext>
          </c:extLst>
        </c:ser>
        <c:ser>
          <c:idx val="1"/>
          <c:order val="1"/>
          <c:tx>
            <c:strRef>
              <c:f>'pv4'!$C$3</c:f>
              <c:strCache>
                <c:ptCount val="1"/>
                <c:pt idx="0">
                  <c:v>Sum of Sales_Amount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A2A2-46F6-B6AE-9D13FE37C29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A2A2-46F6-B6AE-9D13FE37C29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A2A2-46F6-B6AE-9D13FE37C29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'pv4'!$A$4:$A$7</c:f>
              <c:strCache>
                <c:ptCount val="3"/>
                <c:pt idx="0">
                  <c:v>Bank Transfer</c:v>
                </c:pt>
                <c:pt idx="1">
                  <c:v>Cash</c:v>
                </c:pt>
                <c:pt idx="2">
                  <c:v>Credit Card</c:v>
                </c:pt>
              </c:strCache>
            </c:strRef>
          </c:cat>
          <c:val>
            <c:numRef>
              <c:f>'pv4'!$C$4:$C$7</c:f>
              <c:numCache>
                <c:formatCode>General</c:formatCode>
                <c:ptCount val="3"/>
                <c:pt idx="0">
                  <c:v>197881.26999999996</c:v>
                </c:pt>
                <c:pt idx="1">
                  <c:v>107416.59</c:v>
                </c:pt>
                <c:pt idx="2">
                  <c:v>112785.14</c:v>
                </c:pt>
              </c:numCache>
            </c:numRef>
          </c:val>
          <c:extLst>
            <c:ext xmlns:c16="http://schemas.microsoft.com/office/drawing/2014/chart" uri="{C3380CC4-5D6E-409C-BE32-E72D297353CC}">
              <c16:uniqueId val="{0000000D-A2A2-46F6-B6AE-9D13FE37C29C}"/>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945363079615038"/>
          <c:y val="3.579760863225432E-2"/>
          <c:w val="0.18443525809273842"/>
          <c:h val="0.284698606514765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Analysis.xlsx]pv5!PivotTable5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s>
    <c:plotArea>
      <c:layout>
        <c:manualLayout>
          <c:layoutTarget val="inner"/>
          <c:xMode val="edge"/>
          <c:yMode val="edge"/>
          <c:x val="0.33988692038495188"/>
          <c:y val="0.10689814814814814"/>
          <c:w val="0.5228075240594926"/>
          <c:h val="0.72088764946048411"/>
        </c:manualLayout>
      </c:layout>
      <c:barChart>
        <c:barDir val="bar"/>
        <c:grouping val="stacked"/>
        <c:varyColors val="0"/>
        <c:ser>
          <c:idx val="0"/>
          <c:order val="0"/>
          <c:tx>
            <c:strRef>
              <c:f>'pv5'!$B$3:$B$4</c:f>
              <c:strCache>
                <c:ptCount val="1"/>
                <c:pt idx="0">
                  <c:v>East</c:v>
                </c:pt>
              </c:strCache>
            </c:strRef>
          </c:tx>
          <c:spPr>
            <a:solidFill>
              <a:schemeClr val="accent1"/>
            </a:solidFill>
            <a:ln>
              <a:noFill/>
            </a:ln>
            <a:effectLst/>
          </c:spPr>
          <c:invertIfNegative val="0"/>
          <c:cat>
            <c:strRef>
              <c:f>'pv5'!$A$5:$A$8</c:f>
              <c:strCache>
                <c:ptCount val="3"/>
                <c:pt idx="0">
                  <c:v>Bank Transfer</c:v>
                </c:pt>
                <c:pt idx="1">
                  <c:v>Cash</c:v>
                </c:pt>
                <c:pt idx="2">
                  <c:v>Credit Card</c:v>
                </c:pt>
              </c:strCache>
            </c:strRef>
          </c:cat>
          <c:val>
            <c:numRef>
              <c:f>'pv5'!$B$5:$B$8</c:f>
              <c:numCache>
                <c:formatCode>General</c:formatCode>
                <c:ptCount val="3"/>
                <c:pt idx="0">
                  <c:v>45364.829999999994</c:v>
                </c:pt>
                <c:pt idx="1">
                  <c:v>19575.829999999998</c:v>
                </c:pt>
                <c:pt idx="2">
                  <c:v>56402.69</c:v>
                </c:pt>
              </c:numCache>
            </c:numRef>
          </c:val>
          <c:extLst>
            <c:ext xmlns:c16="http://schemas.microsoft.com/office/drawing/2014/chart" uri="{C3380CC4-5D6E-409C-BE32-E72D297353CC}">
              <c16:uniqueId val="{00000000-1D30-4D3B-A2FC-A3D144DE9F21}"/>
            </c:ext>
          </c:extLst>
        </c:ser>
        <c:ser>
          <c:idx val="1"/>
          <c:order val="1"/>
          <c:tx>
            <c:strRef>
              <c:f>'pv5'!$C$3:$C$4</c:f>
              <c:strCache>
                <c:ptCount val="1"/>
                <c:pt idx="0">
                  <c:v>North</c:v>
                </c:pt>
              </c:strCache>
            </c:strRef>
          </c:tx>
          <c:spPr>
            <a:solidFill>
              <a:schemeClr val="accent2"/>
            </a:solidFill>
            <a:ln>
              <a:noFill/>
            </a:ln>
            <a:effectLst/>
          </c:spPr>
          <c:invertIfNegative val="0"/>
          <c:cat>
            <c:strRef>
              <c:f>'pv5'!$A$5:$A$8</c:f>
              <c:strCache>
                <c:ptCount val="3"/>
                <c:pt idx="0">
                  <c:v>Bank Transfer</c:v>
                </c:pt>
                <c:pt idx="1">
                  <c:v>Cash</c:v>
                </c:pt>
                <c:pt idx="2">
                  <c:v>Credit Card</c:v>
                </c:pt>
              </c:strCache>
            </c:strRef>
          </c:cat>
          <c:val>
            <c:numRef>
              <c:f>'pv5'!$C$5:$C$8</c:f>
              <c:numCache>
                <c:formatCode>General</c:formatCode>
                <c:ptCount val="3"/>
                <c:pt idx="0">
                  <c:v>47119.619999999995</c:v>
                </c:pt>
                <c:pt idx="1">
                  <c:v>40030.680000000008</c:v>
                </c:pt>
                <c:pt idx="2">
                  <c:v>24907.56</c:v>
                </c:pt>
              </c:numCache>
            </c:numRef>
          </c:val>
          <c:extLst>
            <c:ext xmlns:c16="http://schemas.microsoft.com/office/drawing/2014/chart" uri="{C3380CC4-5D6E-409C-BE32-E72D297353CC}">
              <c16:uniqueId val="{00000009-1AD0-4F1C-BC2B-C85A745892D3}"/>
            </c:ext>
          </c:extLst>
        </c:ser>
        <c:ser>
          <c:idx val="2"/>
          <c:order val="2"/>
          <c:tx>
            <c:strRef>
              <c:f>'pv5'!$D$3:$D$4</c:f>
              <c:strCache>
                <c:ptCount val="1"/>
                <c:pt idx="0">
                  <c:v>South</c:v>
                </c:pt>
              </c:strCache>
            </c:strRef>
          </c:tx>
          <c:spPr>
            <a:solidFill>
              <a:schemeClr val="accent3"/>
            </a:solidFill>
            <a:ln>
              <a:noFill/>
            </a:ln>
            <a:effectLst/>
          </c:spPr>
          <c:invertIfNegative val="0"/>
          <c:cat>
            <c:strRef>
              <c:f>'pv5'!$A$5:$A$8</c:f>
              <c:strCache>
                <c:ptCount val="3"/>
                <c:pt idx="0">
                  <c:v>Bank Transfer</c:v>
                </c:pt>
                <c:pt idx="1">
                  <c:v>Cash</c:v>
                </c:pt>
                <c:pt idx="2">
                  <c:v>Credit Card</c:v>
                </c:pt>
              </c:strCache>
            </c:strRef>
          </c:cat>
          <c:val>
            <c:numRef>
              <c:f>'pv5'!$D$5:$D$8</c:f>
              <c:numCache>
                <c:formatCode>General</c:formatCode>
                <c:ptCount val="3"/>
                <c:pt idx="0">
                  <c:v>58166.36</c:v>
                </c:pt>
                <c:pt idx="1">
                  <c:v>25105.22</c:v>
                </c:pt>
                <c:pt idx="2">
                  <c:v>8175.6900000000005</c:v>
                </c:pt>
              </c:numCache>
            </c:numRef>
          </c:val>
          <c:extLst>
            <c:ext xmlns:c16="http://schemas.microsoft.com/office/drawing/2014/chart" uri="{C3380CC4-5D6E-409C-BE32-E72D297353CC}">
              <c16:uniqueId val="{0000000A-1AD0-4F1C-BC2B-C85A745892D3}"/>
            </c:ext>
          </c:extLst>
        </c:ser>
        <c:ser>
          <c:idx val="3"/>
          <c:order val="3"/>
          <c:tx>
            <c:strRef>
              <c:f>'pv5'!$E$3:$E$4</c:f>
              <c:strCache>
                <c:ptCount val="1"/>
                <c:pt idx="0">
                  <c:v>West</c:v>
                </c:pt>
              </c:strCache>
            </c:strRef>
          </c:tx>
          <c:spPr>
            <a:solidFill>
              <a:schemeClr val="accent4"/>
            </a:solidFill>
            <a:ln>
              <a:noFill/>
            </a:ln>
            <a:effectLst/>
          </c:spPr>
          <c:invertIfNegative val="0"/>
          <c:cat>
            <c:strRef>
              <c:f>'pv5'!$A$5:$A$8</c:f>
              <c:strCache>
                <c:ptCount val="3"/>
                <c:pt idx="0">
                  <c:v>Bank Transfer</c:v>
                </c:pt>
                <c:pt idx="1">
                  <c:v>Cash</c:v>
                </c:pt>
                <c:pt idx="2">
                  <c:v>Credit Card</c:v>
                </c:pt>
              </c:strCache>
            </c:strRef>
          </c:cat>
          <c:val>
            <c:numRef>
              <c:f>'pv5'!$E$5:$E$8</c:f>
              <c:numCache>
                <c:formatCode>General</c:formatCode>
                <c:ptCount val="3"/>
                <c:pt idx="0">
                  <c:v>47230.46</c:v>
                </c:pt>
                <c:pt idx="1">
                  <c:v>22704.859999999997</c:v>
                </c:pt>
                <c:pt idx="2">
                  <c:v>23299.200000000001</c:v>
                </c:pt>
              </c:numCache>
            </c:numRef>
          </c:val>
          <c:extLst>
            <c:ext xmlns:c16="http://schemas.microsoft.com/office/drawing/2014/chart" uri="{C3380CC4-5D6E-409C-BE32-E72D297353CC}">
              <c16:uniqueId val="{0000000B-1AD0-4F1C-BC2B-C85A745892D3}"/>
            </c:ext>
          </c:extLst>
        </c:ser>
        <c:dLbls>
          <c:showLegendKey val="0"/>
          <c:showVal val="0"/>
          <c:showCatName val="0"/>
          <c:showSerName val="0"/>
          <c:showPercent val="0"/>
          <c:showBubbleSize val="0"/>
        </c:dLbls>
        <c:gapWidth val="150"/>
        <c:overlap val="100"/>
        <c:axId val="345123551"/>
        <c:axId val="164304223"/>
      </c:barChart>
      <c:catAx>
        <c:axId val="34512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4223"/>
        <c:crosses val="autoZero"/>
        <c:auto val="1"/>
        <c:lblAlgn val="ctr"/>
        <c:lblOffset val="100"/>
        <c:noMultiLvlLbl val="0"/>
      </c:catAx>
      <c:valAx>
        <c:axId val="164304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Analysis.xlsx]pv6!PivotTable6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'pv6'!$B$3:$B$4</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'pv6'!$B$5:$B$7</c:f>
              <c:numCache>
                <c:formatCode>General</c:formatCode>
                <c:ptCount val="2"/>
                <c:pt idx="0">
                  <c:v>64225.760000000002</c:v>
                </c:pt>
                <c:pt idx="1">
                  <c:v>57117.59</c:v>
                </c:pt>
              </c:numCache>
            </c:numRef>
          </c:val>
          <c:extLst>
            <c:ext xmlns:c16="http://schemas.microsoft.com/office/drawing/2014/chart" uri="{C3380CC4-5D6E-409C-BE32-E72D297353CC}">
              <c16:uniqueId val="{00000000-99A0-40D8-8448-46D116C2D977}"/>
            </c:ext>
          </c:extLst>
        </c:ser>
        <c:ser>
          <c:idx val="1"/>
          <c:order val="1"/>
          <c:tx>
            <c:strRef>
              <c:f>'pv6'!$C$3:$C$4</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'pv6'!$C$5:$C$7</c:f>
              <c:numCache>
                <c:formatCode>General</c:formatCode>
                <c:ptCount val="2"/>
                <c:pt idx="0">
                  <c:v>63838.729999999996</c:v>
                </c:pt>
                <c:pt idx="1">
                  <c:v>48219.13</c:v>
                </c:pt>
              </c:numCache>
            </c:numRef>
          </c:val>
          <c:extLst>
            <c:ext xmlns:c16="http://schemas.microsoft.com/office/drawing/2014/chart" uri="{C3380CC4-5D6E-409C-BE32-E72D297353CC}">
              <c16:uniqueId val="{00000009-C359-48D3-A9EB-8FBAA377CDFD}"/>
            </c:ext>
          </c:extLst>
        </c:ser>
        <c:ser>
          <c:idx val="2"/>
          <c:order val="2"/>
          <c:tx>
            <c:strRef>
              <c:f>'pv6'!$D$3:$D$4</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'pv6'!$D$5:$D$7</c:f>
              <c:numCache>
                <c:formatCode>General</c:formatCode>
                <c:ptCount val="2"/>
                <c:pt idx="0">
                  <c:v>53398.8</c:v>
                </c:pt>
                <c:pt idx="1">
                  <c:v>38048.47</c:v>
                </c:pt>
              </c:numCache>
            </c:numRef>
          </c:val>
          <c:extLst>
            <c:ext xmlns:c16="http://schemas.microsoft.com/office/drawing/2014/chart" uri="{C3380CC4-5D6E-409C-BE32-E72D297353CC}">
              <c16:uniqueId val="{0000000A-C359-48D3-A9EB-8FBAA377CDFD}"/>
            </c:ext>
          </c:extLst>
        </c:ser>
        <c:ser>
          <c:idx val="3"/>
          <c:order val="3"/>
          <c:tx>
            <c:strRef>
              <c:f>'pv6'!$E$3:$E$4</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'pv6'!$E$5:$E$7</c:f>
              <c:numCache>
                <c:formatCode>General</c:formatCode>
                <c:ptCount val="2"/>
                <c:pt idx="0">
                  <c:v>43512.95</c:v>
                </c:pt>
                <c:pt idx="1">
                  <c:v>49721.57</c:v>
                </c:pt>
              </c:numCache>
            </c:numRef>
          </c:val>
          <c:extLst>
            <c:ext xmlns:c16="http://schemas.microsoft.com/office/drawing/2014/chart" uri="{C3380CC4-5D6E-409C-BE32-E72D297353CC}">
              <c16:uniqueId val="{0000000B-C359-48D3-A9EB-8FBAA377CDFD}"/>
            </c:ext>
          </c:extLst>
        </c:ser>
        <c:dLbls>
          <c:showLegendKey val="0"/>
          <c:showVal val="1"/>
          <c:showCatName val="0"/>
          <c:showSerName val="0"/>
          <c:showPercent val="0"/>
          <c:showBubbleSize val="0"/>
        </c:dLbls>
        <c:gapWidth val="150"/>
        <c:shape val="box"/>
        <c:axId val="2098485583"/>
        <c:axId val="167361935"/>
        <c:axId val="0"/>
      </c:bar3DChart>
      <c:catAx>
        <c:axId val="2098485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1935"/>
        <c:crosses val="autoZero"/>
        <c:auto val="1"/>
        <c:lblAlgn val="ctr"/>
        <c:lblOffset val="100"/>
        <c:noMultiLvlLbl val="0"/>
      </c:catAx>
      <c:valAx>
        <c:axId val="16736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48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8365113735783021"/>
          <c:y val="0.17171296296296296"/>
          <c:w val="0.57973775153105866"/>
          <c:h val="0.72088764946048411"/>
        </c:manualLayout>
      </c:layout>
      <c:bar3DChart>
        <c:barDir val="bar"/>
        <c:grouping val="clustered"/>
        <c:varyColors val="0"/>
        <c:ser>
          <c:idx val="0"/>
          <c:order val="0"/>
          <c:tx>
            <c:strRef>
              <c:f>'pv2'!$B$3</c:f>
              <c:strCache>
                <c:ptCount val="1"/>
                <c:pt idx="0">
                  <c:v>Sum of Sales_Amount</c:v>
                </c:pt>
              </c:strCache>
            </c:strRef>
          </c:tx>
          <c:spPr>
            <a:solidFill>
              <a:schemeClr val="accent1"/>
            </a:solidFill>
            <a:ln>
              <a:noFill/>
            </a:ln>
            <a:effectLst/>
            <a:sp3d/>
          </c:spPr>
          <c:invertIfNegative val="0"/>
          <c:cat>
            <c:strRef>
              <c:f>'pv2'!$A$4:$A$8</c:f>
              <c:strCache>
                <c:ptCount val="4"/>
                <c:pt idx="0">
                  <c:v>Clothing</c:v>
                </c:pt>
                <c:pt idx="1">
                  <c:v>Electronics</c:v>
                </c:pt>
                <c:pt idx="2">
                  <c:v>Food</c:v>
                </c:pt>
                <c:pt idx="3">
                  <c:v>Furniture</c:v>
                </c:pt>
              </c:strCache>
            </c:strRef>
          </c:cat>
          <c:val>
            <c:numRef>
              <c:f>'pv2'!$B$4:$B$8</c:f>
              <c:numCache>
                <c:formatCode>General</c:formatCode>
                <c:ptCount val="4"/>
                <c:pt idx="0">
                  <c:v>105328.20999999999</c:v>
                </c:pt>
                <c:pt idx="1">
                  <c:v>77118.12999999999</c:v>
                </c:pt>
                <c:pt idx="2">
                  <c:v>121774.81999999999</c:v>
                </c:pt>
                <c:pt idx="3">
                  <c:v>113861.84000000001</c:v>
                </c:pt>
              </c:numCache>
            </c:numRef>
          </c:val>
          <c:extLst>
            <c:ext xmlns:c16="http://schemas.microsoft.com/office/drawing/2014/chart" uri="{C3380CC4-5D6E-409C-BE32-E72D297353CC}">
              <c16:uniqueId val="{00000000-5698-47F1-BB3A-4CD96CC5849E}"/>
            </c:ext>
          </c:extLst>
        </c:ser>
        <c:ser>
          <c:idx val="1"/>
          <c:order val="1"/>
          <c:tx>
            <c:strRef>
              <c:f>'pv2'!$C$3</c:f>
              <c:strCache>
                <c:ptCount val="1"/>
                <c:pt idx="0">
                  <c:v>Sum of Quantity_Sold</c:v>
                </c:pt>
              </c:strCache>
            </c:strRef>
          </c:tx>
          <c:spPr>
            <a:solidFill>
              <a:schemeClr val="accent2"/>
            </a:solidFill>
            <a:ln>
              <a:noFill/>
            </a:ln>
            <a:effectLst/>
            <a:sp3d/>
          </c:spPr>
          <c:invertIfNegative val="0"/>
          <c:cat>
            <c:strRef>
              <c:f>'pv2'!$A$4:$A$8</c:f>
              <c:strCache>
                <c:ptCount val="4"/>
                <c:pt idx="0">
                  <c:v>Clothing</c:v>
                </c:pt>
                <c:pt idx="1">
                  <c:v>Electronics</c:v>
                </c:pt>
                <c:pt idx="2">
                  <c:v>Food</c:v>
                </c:pt>
                <c:pt idx="3">
                  <c:v>Furniture</c:v>
                </c:pt>
              </c:strCache>
            </c:strRef>
          </c:cat>
          <c:val>
            <c:numRef>
              <c:f>'pv2'!$C$4:$C$8</c:f>
              <c:numCache>
                <c:formatCode>General</c:formatCode>
                <c:ptCount val="4"/>
                <c:pt idx="0">
                  <c:v>637</c:v>
                </c:pt>
                <c:pt idx="1">
                  <c:v>441</c:v>
                </c:pt>
                <c:pt idx="2">
                  <c:v>615</c:v>
                </c:pt>
                <c:pt idx="3">
                  <c:v>646.33000000000004</c:v>
                </c:pt>
              </c:numCache>
            </c:numRef>
          </c:val>
          <c:extLst>
            <c:ext xmlns:c16="http://schemas.microsoft.com/office/drawing/2014/chart" uri="{C3380CC4-5D6E-409C-BE32-E72D297353CC}">
              <c16:uniqueId val="{00000001-5698-47F1-BB3A-4CD96CC5849E}"/>
            </c:ext>
          </c:extLst>
        </c:ser>
        <c:dLbls>
          <c:showLegendKey val="0"/>
          <c:showVal val="0"/>
          <c:showCatName val="0"/>
          <c:showSerName val="0"/>
          <c:showPercent val="0"/>
          <c:showBubbleSize val="0"/>
        </c:dLbls>
        <c:gapWidth val="182"/>
        <c:shape val="box"/>
        <c:axId val="2100901327"/>
        <c:axId val="241342207"/>
        <c:axId val="0"/>
      </c:bar3DChart>
      <c:catAx>
        <c:axId val="2100901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342207"/>
        <c:crosses val="autoZero"/>
        <c:auto val="1"/>
        <c:lblAlgn val="ctr"/>
        <c:lblOffset val="100"/>
        <c:noMultiLvlLbl val="0"/>
      </c:catAx>
      <c:valAx>
        <c:axId val="241342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901327"/>
        <c:crosses val="autoZero"/>
        <c:crossBetween val="between"/>
      </c:valAx>
      <c:spPr>
        <a:noFill/>
        <a:ln>
          <a:noFill/>
        </a:ln>
        <a:effectLst/>
      </c:spPr>
    </c:plotArea>
    <c:legend>
      <c:legendPos val="r"/>
      <c:layout>
        <c:manualLayout>
          <c:xMode val="edge"/>
          <c:yMode val="edge"/>
          <c:x val="0.73472222222222228"/>
          <c:y val="0.12173483522892972"/>
          <c:w val="0.26250000000000001"/>
          <c:h val="0.1273170020414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'pv3'!$B$3</c:f>
              <c:strCache>
                <c:ptCount val="1"/>
                <c:pt idx="0">
                  <c:v>Total</c:v>
                </c:pt>
              </c:strCache>
            </c:strRef>
          </c:tx>
          <c:spPr>
            <a:ln w="28575" cap="rnd">
              <a:solidFill>
                <a:schemeClr val="accent1"/>
              </a:solidFill>
              <a:round/>
            </a:ln>
            <a:effectLst/>
          </c:spPr>
          <c:marker>
            <c:symbol val="none"/>
          </c:marker>
          <c:cat>
            <c:strRef>
              <c:f>'pv3'!$A$4:$A$16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'pv3'!$B$4:$B$16</c:f>
              <c:numCache>
                <c:formatCode>General</c:formatCode>
                <c:ptCount val="12"/>
                <c:pt idx="0">
                  <c:v>51461.819999999992</c:v>
                </c:pt>
                <c:pt idx="1">
                  <c:v>29305.320000000007</c:v>
                </c:pt>
                <c:pt idx="2">
                  <c:v>45592.06</c:v>
                </c:pt>
                <c:pt idx="3">
                  <c:v>8417.51</c:v>
                </c:pt>
                <c:pt idx="4">
                  <c:v>42683.040000000001</c:v>
                </c:pt>
                <c:pt idx="5">
                  <c:v>37820.97</c:v>
                </c:pt>
                <c:pt idx="6">
                  <c:v>19600.04</c:v>
                </c:pt>
                <c:pt idx="7">
                  <c:v>17005.5</c:v>
                </c:pt>
                <c:pt idx="8">
                  <c:v>46822.04</c:v>
                </c:pt>
                <c:pt idx="9">
                  <c:v>36769.22</c:v>
                </c:pt>
                <c:pt idx="10">
                  <c:v>59418.250000000007</c:v>
                </c:pt>
                <c:pt idx="11">
                  <c:v>23187.23</c:v>
                </c:pt>
              </c:numCache>
            </c:numRef>
          </c:val>
          <c:smooth val="0"/>
          <c:extLst>
            <c:ext xmlns:c16="http://schemas.microsoft.com/office/drawing/2014/chart" uri="{C3380CC4-5D6E-409C-BE32-E72D297353CC}">
              <c16:uniqueId val="{00000000-9AE3-4925-8AA4-64FA452C6A1B}"/>
            </c:ext>
          </c:extLst>
        </c:ser>
        <c:dLbls>
          <c:showLegendKey val="0"/>
          <c:showVal val="0"/>
          <c:showCatName val="0"/>
          <c:showSerName val="0"/>
          <c:showPercent val="0"/>
          <c:showBubbleSize val="0"/>
        </c:dLbls>
        <c:smooth val="0"/>
        <c:axId val="157683135"/>
        <c:axId val="2100044751"/>
      </c:lineChart>
      <c:catAx>
        <c:axId val="157683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0044751"/>
        <c:crosses val="autoZero"/>
        <c:auto val="1"/>
        <c:lblAlgn val="ctr"/>
        <c:lblOffset val="100"/>
        <c:noMultiLvlLbl val="0"/>
      </c:catAx>
      <c:valAx>
        <c:axId val="21000447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6831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s>
    <c:view3D>
      <c:rotX val="7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790748031496064"/>
          <c:y val="0.17171296296296298"/>
          <c:w val="0.48308333333333331"/>
          <c:h val="0.80513888888888885"/>
        </c:manualLayout>
      </c:layout>
      <c:pie3DChart>
        <c:varyColors val="1"/>
        <c:ser>
          <c:idx val="0"/>
          <c:order val="0"/>
          <c:tx>
            <c:strRef>
              <c:f>'pv4'!$B$3</c:f>
              <c:strCache>
                <c:ptCount val="1"/>
                <c:pt idx="0">
                  <c:v>Sum of Product_ID</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B60-419F-B1C0-FB75ACEE2D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B60-419F-B1C0-FB75ACEE2D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B60-419F-B1C0-FB75ACEE2D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'pv4'!$A$4:$A$7</c:f>
              <c:strCache>
                <c:ptCount val="3"/>
                <c:pt idx="0">
                  <c:v>Bank Transfer</c:v>
                </c:pt>
                <c:pt idx="1">
                  <c:v>Cash</c:v>
                </c:pt>
                <c:pt idx="2">
                  <c:v>Credit Card</c:v>
                </c:pt>
              </c:strCache>
            </c:strRef>
          </c:cat>
          <c:val>
            <c:numRef>
              <c:f>'pv4'!$B$4:$B$7</c:f>
              <c:numCache>
                <c:formatCode>General</c:formatCode>
                <c:ptCount val="3"/>
                <c:pt idx="0">
                  <c:v>39976</c:v>
                </c:pt>
                <c:pt idx="1">
                  <c:v>26083</c:v>
                </c:pt>
                <c:pt idx="2">
                  <c:v>26273</c:v>
                </c:pt>
              </c:numCache>
            </c:numRef>
          </c:val>
          <c:extLst>
            <c:ext xmlns:c16="http://schemas.microsoft.com/office/drawing/2014/chart" uri="{C3380CC4-5D6E-409C-BE32-E72D297353CC}">
              <c16:uniqueId val="{00000000-DC57-40DF-82F6-F0A829D5C457}"/>
            </c:ext>
          </c:extLst>
        </c:ser>
        <c:ser>
          <c:idx val="1"/>
          <c:order val="1"/>
          <c:tx>
            <c:strRef>
              <c:f>'pv4'!$C$3</c:f>
              <c:strCache>
                <c:ptCount val="1"/>
                <c:pt idx="0">
                  <c:v>Sum of Sales_Amount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7-6B60-419F-B1C0-FB75ACEE2D4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9-6B60-419F-B1C0-FB75ACEE2D4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B-6B60-419F-B1C0-FB75ACEE2D4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'pv4'!$A$4:$A$7</c:f>
              <c:strCache>
                <c:ptCount val="3"/>
                <c:pt idx="0">
                  <c:v>Bank Transfer</c:v>
                </c:pt>
                <c:pt idx="1">
                  <c:v>Cash</c:v>
                </c:pt>
                <c:pt idx="2">
                  <c:v>Credit Card</c:v>
                </c:pt>
              </c:strCache>
            </c:strRef>
          </c:cat>
          <c:val>
            <c:numRef>
              <c:f>'pv4'!$C$4:$C$7</c:f>
              <c:numCache>
                <c:formatCode>General</c:formatCode>
                <c:ptCount val="3"/>
                <c:pt idx="0">
                  <c:v>197881.26999999996</c:v>
                </c:pt>
                <c:pt idx="1">
                  <c:v>107416.59</c:v>
                </c:pt>
                <c:pt idx="2">
                  <c:v>112785.14</c:v>
                </c:pt>
              </c:numCache>
            </c:numRef>
          </c:val>
          <c:extLst>
            <c:ext xmlns:c16="http://schemas.microsoft.com/office/drawing/2014/chart" uri="{C3380CC4-5D6E-409C-BE32-E72D297353CC}">
              <c16:uniqueId val="{00000001-DC57-40DF-82F6-F0A829D5C457}"/>
            </c:ext>
          </c:extLst>
        </c:ser>
        <c:dLbls>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77945363079615038"/>
          <c:y val="3.579760863225432E-2"/>
          <c:w val="0.18443525809273842"/>
          <c:h val="0.1880803441236511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32322025371828522"/>
          <c:y val="0.17171296296296296"/>
          <c:w val="0.5228075240594926"/>
          <c:h val="0.72088764946048411"/>
        </c:manualLayout>
      </c:layout>
      <c:barChart>
        <c:barDir val="bar"/>
        <c:grouping val="stacked"/>
        <c:varyColors val="0"/>
        <c:ser>
          <c:idx val="0"/>
          <c:order val="0"/>
          <c:tx>
            <c:strRef>
              <c:f>'pv5'!$B$3:$B$4</c:f>
              <c:strCache>
                <c:ptCount val="1"/>
                <c:pt idx="0">
                  <c:v>East</c:v>
                </c:pt>
              </c:strCache>
            </c:strRef>
          </c:tx>
          <c:spPr>
            <a:solidFill>
              <a:schemeClr val="accent1"/>
            </a:solidFill>
            <a:ln>
              <a:noFill/>
            </a:ln>
            <a:effectLst/>
          </c:spPr>
          <c:invertIfNegative val="0"/>
          <c:cat>
            <c:strRef>
              <c:f>'pv5'!$A$5:$A$8</c:f>
              <c:strCache>
                <c:ptCount val="3"/>
                <c:pt idx="0">
                  <c:v>Bank Transfer</c:v>
                </c:pt>
                <c:pt idx="1">
                  <c:v>Cash</c:v>
                </c:pt>
                <c:pt idx="2">
                  <c:v>Credit Card</c:v>
                </c:pt>
              </c:strCache>
            </c:strRef>
          </c:cat>
          <c:val>
            <c:numRef>
              <c:f>'pv5'!$B$5:$B$8</c:f>
              <c:numCache>
                <c:formatCode>General</c:formatCode>
                <c:ptCount val="3"/>
                <c:pt idx="0">
                  <c:v>45364.829999999994</c:v>
                </c:pt>
                <c:pt idx="1">
                  <c:v>19575.829999999998</c:v>
                </c:pt>
                <c:pt idx="2">
                  <c:v>56402.69</c:v>
                </c:pt>
              </c:numCache>
            </c:numRef>
          </c:val>
          <c:extLst>
            <c:ext xmlns:c16="http://schemas.microsoft.com/office/drawing/2014/chart" uri="{C3380CC4-5D6E-409C-BE32-E72D297353CC}">
              <c16:uniqueId val="{00000000-A7CD-4BA1-8D54-EA542479C6B8}"/>
            </c:ext>
          </c:extLst>
        </c:ser>
        <c:ser>
          <c:idx val="1"/>
          <c:order val="1"/>
          <c:tx>
            <c:strRef>
              <c:f>'pv5'!$C$3:$C$4</c:f>
              <c:strCache>
                <c:ptCount val="1"/>
                <c:pt idx="0">
                  <c:v>North</c:v>
                </c:pt>
              </c:strCache>
            </c:strRef>
          </c:tx>
          <c:spPr>
            <a:solidFill>
              <a:schemeClr val="accent2"/>
            </a:solidFill>
            <a:ln>
              <a:noFill/>
            </a:ln>
            <a:effectLst/>
          </c:spPr>
          <c:invertIfNegative val="0"/>
          <c:cat>
            <c:strRef>
              <c:f>'pv5'!$A$5:$A$8</c:f>
              <c:strCache>
                <c:ptCount val="3"/>
                <c:pt idx="0">
                  <c:v>Bank Transfer</c:v>
                </c:pt>
                <c:pt idx="1">
                  <c:v>Cash</c:v>
                </c:pt>
                <c:pt idx="2">
                  <c:v>Credit Card</c:v>
                </c:pt>
              </c:strCache>
            </c:strRef>
          </c:cat>
          <c:val>
            <c:numRef>
              <c:f>'pv5'!$C$5:$C$8</c:f>
              <c:numCache>
                <c:formatCode>General</c:formatCode>
                <c:ptCount val="3"/>
                <c:pt idx="0">
                  <c:v>47119.619999999995</c:v>
                </c:pt>
                <c:pt idx="1">
                  <c:v>40030.680000000008</c:v>
                </c:pt>
                <c:pt idx="2">
                  <c:v>24907.56</c:v>
                </c:pt>
              </c:numCache>
            </c:numRef>
          </c:val>
          <c:extLst>
            <c:ext xmlns:c16="http://schemas.microsoft.com/office/drawing/2014/chart" uri="{C3380CC4-5D6E-409C-BE32-E72D297353CC}">
              <c16:uniqueId val="{00000009-5A30-4A93-93C8-248A67A7BE3D}"/>
            </c:ext>
          </c:extLst>
        </c:ser>
        <c:ser>
          <c:idx val="2"/>
          <c:order val="2"/>
          <c:tx>
            <c:strRef>
              <c:f>'pv5'!$D$3:$D$4</c:f>
              <c:strCache>
                <c:ptCount val="1"/>
                <c:pt idx="0">
                  <c:v>South</c:v>
                </c:pt>
              </c:strCache>
            </c:strRef>
          </c:tx>
          <c:spPr>
            <a:solidFill>
              <a:schemeClr val="accent3"/>
            </a:solidFill>
            <a:ln>
              <a:noFill/>
            </a:ln>
            <a:effectLst/>
          </c:spPr>
          <c:invertIfNegative val="0"/>
          <c:cat>
            <c:strRef>
              <c:f>'pv5'!$A$5:$A$8</c:f>
              <c:strCache>
                <c:ptCount val="3"/>
                <c:pt idx="0">
                  <c:v>Bank Transfer</c:v>
                </c:pt>
                <c:pt idx="1">
                  <c:v>Cash</c:v>
                </c:pt>
                <c:pt idx="2">
                  <c:v>Credit Card</c:v>
                </c:pt>
              </c:strCache>
            </c:strRef>
          </c:cat>
          <c:val>
            <c:numRef>
              <c:f>'pv5'!$D$5:$D$8</c:f>
              <c:numCache>
                <c:formatCode>General</c:formatCode>
                <c:ptCount val="3"/>
                <c:pt idx="0">
                  <c:v>58166.36</c:v>
                </c:pt>
                <c:pt idx="1">
                  <c:v>25105.22</c:v>
                </c:pt>
                <c:pt idx="2">
                  <c:v>8175.6900000000005</c:v>
                </c:pt>
              </c:numCache>
            </c:numRef>
          </c:val>
          <c:extLst>
            <c:ext xmlns:c16="http://schemas.microsoft.com/office/drawing/2014/chart" uri="{C3380CC4-5D6E-409C-BE32-E72D297353CC}">
              <c16:uniqueId val="{0000000A-5A30-4A93-93C8-248A67A7BE3D}"/>
            </c:ext>
          </c:extLst>
        </c:ser>
        <c:ser>
          <c:idx val="3"/>
          <c:order val="3"/>
          <c:tx>
            <c:strRef>
              <c:f>'pv5'!$E$3:$E$4</c:f>
              <c:strCache>
                <c:ptCount val="1"/>
                <c:pt idx="0">
                  <c:v>West</c:v>
                </c:pt>
              </c:strCache>
            </c:strRef>
          </c:tx>
          <c:spPr>
            <a:solidFill>
              <a:schemeClr val="accent4"/>
            </a:solidFill>
            <a:ln>
              <a:noFill/>
            </a:ln>
            <a:effectLst/>
          </c:spPr>
          <c:invertIfNegative val="0"/>
          <c:cat>
            <c:strRef>
              <c:f>'pv5'!$A$5:$A$8</c:f>
              <c:strCache>
                <c:ptCount val="3"/>
                <c:pt idx="0">
                  <c:v>Bank Transfer</c:v>
                </c:pt>
                <c:pt idx="1">
                  <c:v>Cash</c:v>
                </c:pt>
                <c:pt idx="2">
                  <c:v>Credit Card</c:v>
                </c:pt>
              </c:strCache>
            </c:strRef>
          </c:cat>
          <c:val>
            <c:numRef>
              <c:f>'pv5'!$E$5:$E$8</c:f>
              <c:numCache>
                <c:formatCode>General</c:formatCode>
                <c:ptCount val="3"/>
                <c:pt idx="0">
                  <c:v>47230.46</c:v>
                </c:pt>
                <c:pt idx="1">
                  <c:v>22704.859999999997</c:v>
                </c:pt>
                <c:pt idx="2">
                  <c:v>23299.200000000001</c:v>
                </c:pt>
              </c:numCache>
            </c:numRef>
          </c:val>
          <c:extLst>
            <c:ext xmlns:c16="http://schemas.microsoft.com/office/drawing/2014/chart" uri="{C3380CC4-5D6E-409C-BE32-E72D297353CC}">
              <c16:uniqueId val="{0000000B-5A30-4A93-93C8-248A67A7BE3D}"/>
            </c:ext>
          </c:extLst>
        </c:ser>
        <c:dLbls>
          <c:showLegendKey val="0"/>
          <c:showVal val="0"/>
          <c:showCatName val="0"/>
          <c:showSerName val="0"/>
          <c:showPercent val="0"/>
          <c:showBubbleSize val="0"/>
        </c:dLbls>
        <c:gapWidth val="150"/>
        <c:overlap val="100"/>
        <c:axId val="345123551"/>
        <c:axId val="164304223"/>
      </c:barChart>
      <c:catAx>
        <c:axId val="345123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04223"/>
        <c:crosses val="autoZero"/>
        <c:auto val="1"/>
        <c:lblAlgn val="ctr"/>
        <c:lblOffset val="100"/>
        <c:noMultiLvlLbl val="0"/>
      </c:catAx>
      <c:valAx>
        <c:axId val="1643042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1235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Analysis.xlsx]pv6!PivotTable6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type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'pv6'!$B$3:$B$4</c:f>
              <c:strCache>
                <c:ptCount val="1"/>
                <c:pt idx="0">
                  <c:v>East</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'pv6'!$B$5:$B$7</c:f>
              <c:numCache>
                <c:formatCode>General</c:formatCode>
                <c:ptCount val="2"/>
                <c:pt idx="0">
                  <c:v>64225.760000000002</c:v>
                </c:pt>
                <c:pt idx="1">
                  <c:v>57117.59</c:v>
                </c:pt>
              </c:numCache>
            </c:numRef>
          </c:val>
          <c:extLst>
            <c:ext xmlns:c16="http://schemas.microsoft.com/office/drawing/2014/chart" uri="{C3380CC4-5D6E-409C-BE32-E72D297353CC}">
              <c16:uniqueId val="{00000000-3CFC-428B-B8A2-B414795EEFF0}"/>
            </c:ext>
          </c:extLst>
        </c:ser>
        <c:ser>
          <c:idx val="1"/>
          <c:order val="1"/>
          <c:tx>
            <c:strRef>
              <c:f>'pv6'!$C$3:$C$4</c:f>
              <c:strCache>
                <c:ptCount val="1"/>
                <c:pt idx="0">
                  <c:v>North</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'pv6'!$C$5:$C$7</c:f>
              <c:numCache>
                <c:formatCode>General</c:formatCode>
                <c:ptCount val="2"/>
                <c:pt idx="0">
                  <c:v>63838.729999999996</c:v>
                </c:pt>
                <c:pt idx="1">
                  <c:v>48219.13</c:v>
                </c:pt>
              </c:numCache>
            </c:numRef>
          </c:val>
          <c:extLst>
            <c:ext xmlns:c16="http://schemas.microsoft.com/office/drawing/2014/chart" uri="{C3380CC4-5D6E-409C-BE32-E72D297353CC}">
              <c16:uniqueId val="{00000009-0EE1-4317-8A2D-7292F47060D8}"/>
            </c:ext>
          </c:extLst>
        </c:ser>
        <c:ser>
          <c:idx val="2"/>
          <c:order val="2"/>
          <c:tx>
            <c:strRef>
              <c:f>'pv6'!$D$3:$D$4</c:f>
              <c:strCache>
                <c:ptCount val="1"/>
                <c:pt idx="0">
                  <c:v>South</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'pv6'!$D$5:$D$7</c:f>
              <c:numCache>
                <c:formatCode>General</c:formatCode>
                <c:ptCount val="2"/>
                <c:pt idx="0">
                  <c:v>53398.8</c:v>
                </c:pt>
                <c:pt idx="1">
                  <c:v>38048.47</c:v>
                </c:pt>
              </c:numCache>
            </c:numRef>
          </c:val>
          <c:extLst>
            <c:ext xmlns:c16="http://schemas.microsoft.com/office/drawing/2014/chart" uri="{C3380CC4-5D6E-409C-BE32-E72D297353CC}">
              <c16:uniqueId val="{0000000A-0EE1-4317-8A2D-7292F47060D8}"/>
            </c:ext>
          </c:extLst>
        </c:ser>
        <c:ser>
          <c:idx val="3"/>
          <c:order val="3"/>
          <c:tx>
            <c:strRef>
              <c:f>'pv6'!$E$3:$E$4</c:f>
              <c:strCache>
                <c:ptCount val="1"/>
                <c:pt idx="0">
                  <c:v>West</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'pv6'!$A$5:$A$7</c:f>
              <c:strCache>
                <c:ptCount val="2"/>
                <c:pt idx="0">
                  <c:v>New</c:v>
                </c:pt>
                <c:pt idx="1">
                  <c:v>Returning</c:v>
                </c:pt>
              </c:strCache>
            </c:strRef>
          </c:cat>
          <c:val>
            <c:numRef>
              <c:f>'pv6'!$E$5:$E$7</c:f>
              <c:numCache>
                <c:formatCode>General</c:formatCode>
                <c:ptCount val="2"/>
                <c:pt idx="0">
                  <c:v>43512.95</c:v>
                </c:pt>
                <c:pt idx="1">
                  <c:v>49721.57</c:v>
                </c:pt>
              </c:numCache>
            </c:numRef>
          </c:val>
          <c:extLst>
            <c:ext xmlns:c16="http://schemas.microsoft.com/office/drawing/2014/chart" uri="{C3380CC4-5D6E-409C-BE32-E72D297353CC}">
              <c16:uniqueId val="{0000000B-0EE1-4317-8A2D-7292F47060D8}"/>
            </c:ext>
          </c:extLst>
        </c:ser>
        <c:dLbls>
          <c:showLegendKey val="0"/>
          <c:showVal val="1"/>
          <c:showCatName val="0"/>
          <c:showSerName val="0"/>
          <c:showPercent val="0"/>
          <c:showBubbleSize val="0"/>
        </c:dLbls>
        <c:gapWidth val="150"/>
        <c:shape val="box"/>
        <c:axId val="2098485583"/>
        <c:axId val="167361935"/>
        <c:axId val="0"/>
      </c:bar3DChart>
      <c:catAx>
        <c:axId val="209848558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61935"/>
        <c:crosses val="autoZero"/>
        <c:auto val="1"/>
        <c:lblAlgn val="ctr"/>
        <c:lblOffset val="100"/>
        <c:noMultiLvlLbl val="0"/>
      </c:catAx>
      <c:valAx>
        <c:axId val="16736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48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Button" lockText="1"/>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76200</xdr:colOff>
          <xdr:row>90</xdr:row>
          <xdr:rowOff>167640</xdr:rowOff>
        </xdr:from>
        <xdr:to>
          <xdr:col>1</xdr:col>
          <xdr:colOff>594360</xdr:colOff>
          <xdr:row>92</xdr:row>
          <xdr:rowOff>22860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noFill/>
            <a:ln w="9525">
              <a:miter lim="800000"/>
              <a:headEnd/>
              <a:tailEnd/>
            </a:ln>
          </xdr:spPr>
          <xdr:txBody>
            <a:bodyPr vertOverflow="clip" wrap="square" lIns="36576" tIns="32004" rIns="36576" bIns="32004" anchor="ctr" upright="1"/>
            <a:lstStyle/>
            <a:p>
              <a:pPr algn="ctr" rtl="0">
                <a:defRPr sz="1000"/>
              </a:pPr>
              <a:r>
                <a:rPr lang="en-IN" sz="1100" b="0" i="0" u="none" strike="noStrike" baseline="0">
                  <a:solidFill>
                    <a:srgbClr val="000000"/>
                  </a:solidFill>
                  <a:latin typeface="Calibri"/>
                  <a:ea typeface="Calibri"/>
                  <a:cs typeface="Calibri"/>
                </a:rPr>
                <a:t>Button </a:t>
              </a:r>
            </a:p>
          </xdr:txBody>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198120</xdr:colOff>
      <xdr:row>6</xdr:row>
      <xdr:rowOff>160020</xdr:rowOff>
    </xdr:from>
    <xdr:to>
      <xdr:col>9</xdr:col>
      <xdr:colOff>60960</xdr:colOff>
      <xdr:row>21</xdr:row>
      <xdr:rowOff>160020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411480</xdr:rowOff>
    </xdr:from>
    <xdr:to>
      <xdr:col>5</xdr:col>
      <xdr:colOff>594360</xdr:colOff>
      <xdr:row>16</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586740</xdr:colOff>
      <xdr:row>0</xdr:row>
      <xdr:rowOff>419100</xdr:rowOff>
    </xdr:from>
    <xdr:to>
      <xdr:col>10</xdr:col>
      <xdr:colOff>434340</xdr:colOff>
      <xdr:row>16</xdr:row>
      <xdr:rowOff>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16</xdr:row>
      <xdr:rowOff>7620</xdr:rowOff>
    </xdr:from>
    <xdr:to>
      <xdr:col>5</xdr:col>
      <xdr:colOff>594360</xdr:colOff>
      <xdr:row>33</xdr:row>
      <xdr:rowOff>53340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601980</xdr:colOff>
      <xdr:row>16</xdr:row>
      <xdr:rowOff>0</xdr:rowOff>
    </xdr:from>
    <xdr:to>
      <xdr:col>10</xdr:col>
      <xdr:colOff>426720</xdr:colOff>
      <xdr:row>33</xdr:row>
      <xdr:rowOff>15240</xdr:rowOff>
    </xdr:to>
    <xdr:graphicFrame macro="">
      <xdr:nvGraphicFramePr>
        <xdr:cNvPr id="5" name="Chart 4">
          <a:extLst>
            <a:ext uri="{FF2B5EF4-FFF2-40B4-BE49-F238E27FC236}">
              <a16:creationId xmlns:a16="http://schemas.microsoft.com/office/drawing/2014/main" id="{00000000-0008-0000-03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419100</xdr:colOff>
      <xdr:row>0</xdr:row>
      <xdr:rowOff>419100</xdr:rowOff>
    </xdr:from>
    <xdr:to>
      <xdr:col>17</xdr:col>
      <xdr:colOff>251460</xdr:colOff>
      <xdr:row>15</xdr:row>
      <xdr:rowOff>175260</xdr:rowOff>
    </xdr:to>
    <xdr:graphicFrame macro="">
      <xdr:nvGraphicFramePr>
        <xdr:cNvPr id="6" name="Chart 5">
          <a:extLst>
            <a:ext uri="{FF2B5EF4-FFF2-40B4-BE49-F238E27FC236}">
              <a16:creationId xmlns:a16="http://schemas.microsoft.com/office/drawing/2014/main" id="{00000000-0008-0000-03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419100</xdr:colOff>
      <xdr:row>15</xdr:row>
      <xdr:rowOff>167640</xdr:rowOff>
    </xdr:from>
    <xdr:to>
      <xdr:col>17</xdr:col>
      <xdr:colOff>243840</xdr:colOff>
      <xdr:row>33</xdr:row>
      <xdr:rowOff>0</xdr:rowOff>
    </xdr:to>
    <xdr:graphicFrame macro="">
      <xdr:nvGraphicFramePr>
        <xdr:cNvPr id="7" name="Chart 6">
          <a:extLst>
            <a:ext uri="{FF2B5EF4-FFF2-40B4-BE49-F238E27FC236}">
              <a16:creationId xmlns:a16="http://schemas.microsoft.com/office/drawing/2014/main" id="{00000000-0008-0000-03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266700</xdr:colOff>
      <xdr:row>0</xdr:row>
      <xdr:rowOff>411481</xdr:rowOff>
    </xdr:from>
    <xdr:to>
      <xdr:col>18</xdr:col>
      <xdr:colOff>1920240</xdr:colOff>
      <xdr:row>8</xdr:row>
      <xdr:rowOff>68580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864340" y="411481"/>
              <a:ext cx="226314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8</xdr:row>
      <xdr:rowOff>60960</xdr:rowOff>
    </xdr:from>
    <xdr:to>
      <xdr:col>19</xdr:col>
      <xdr:colOff>38100</xdr:colOff>
      <xdr:row>14</xdr:row>
      <xdr:rowOff>83820</xdr:rowOff>
    </xdr:to>
    <mc:AlternateContent xmlns:mc="http://schemas.openxmlformats.org/markup-compatibility/2006">
      <mc:Choice xmlns:a14="http://schemas.microsoft.com/office/drawing/2010/main" Requires="a14">
        <xdr:graphicFrame macro="">
          <xdr:nvGraphicFramePr>
            <xdr:cNvPr id="9" name="Product_Category">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1864340" y="1767840"/>
              <a:ext cx="2316480" cy="112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259080</xdr:colOff>
      <xdr:row>27</xdr:row>
      <xdr:rowOff>76200</xdr:rowOff>
    </xdr:from>
    <xdr:to>
      <xdr:col>18</xdr:col>
      <xdr:colOff>1920240</xdr:colOff>
      <xdr:row>32</xdr:row>
      <xdr:rowOff>15239</xdr:rowOff>
    </xdr:to>
    <mc:AlternateContent xmlns:mc="http://schemas.openxmlformats.org/markup-compatibility/2006">
      <mc:Choice xmlns:a14="http://schemas.microsoft.com/office/drawing/2010/main" Requires="a14">
        <xdr:graphicFrame macro="">
          <xdr:nvGraphicFramePr>
            <xdr:cNvPr id="10" name="Customer_Type">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1856720" y="5288280"/>
              <a:ext cx="2270760" cy="853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251460</xdr:colOff>
      <xdr:row>22</xdr:row>
      <xdr:rowOff>121921</xdr:rowOff>
    </xdr:from>
    <xdr:to>
      <xdr:col>19</xdr:col>
      <xdr:colOff>15240</xdr:colOff>
      <xdr:row>27</xdr:row>
      <xdr:rowOff>144780</xdr:rowOff>
    </xdr:to>
    <mc:AlternateContent xmlns:mc="http://schemas.openxmlformats.org/markup-compatibility/2006">
      <mc:Choice xmlns:a14="http://schemas.microsoft.com/office/drawing/2010/main" Requires="a14">
        <xdr:graphicFrame macro="">
          <xdr:nvGraphicFramePr>
            <xdr:cNvPr id="11" name="Payment_Method">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1849100" y="4396741"/>
              <a:ext cx="2308860" cy="9601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266700</xdr:colOff>
      <xdr:row>14</xdr:row>
      <xdr:rowOff>68580</xdr:rowOff>
    </xdr:from>
    <xdr:to>
      <xdr:col>19</xdr:col>
      <xdr:colOff>7620</xdr:colOff>
      <xdr:row>22</xdr:row>
      <xdr:rowOff>129540</xdr:rowOff>
    </xdr:to>
    <mc:AlternateContent xmlns:mc="http://schemas.openxmlformats.org/markup-compatibility/2006" xmlns:a14="http://schemas.microsoft.com/office/drawing/2010/main">
      <mc:Choice Requires="a14">
        <xdr:graphicFrame macro="">
          <xdr:nvGraphicFramePr>
            <xdr:cNvPr id="12" name="Months">
              <a:extLst>
                <a:ext uri="{FF2B5EF4-FFF2-40B4-BE49-F238E27FC236}">
                  <a16:creationId xmlns:a16="http://schemas.microsoft.com/office/drawing/2014/main" id="{00000000-0008-0000-0300-00000C00000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11871960" y="2362201"/>
              <a:ext cx="2278380" cy="1082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350520</xdr:colOff>
      <xdr:row>6</xdr:row>
      <xdr:rowOff>160020</xdr:rowOff>
    </xdr:from>
    <xdr:to>
      <xdr:col>8</xdr:col>
      <xdr:colOff>457200</xdr:colOff>
      <xdr:row>21</xdr:row>
      <xdr:rowOff>160020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198120</xdr:colOff>
      <xdr:row>6</xdr:row>
      <xdr:rowOff>160020</xdr:rowOff>
    </xdr:from>
    <xdr:to>
      <xdr:col>9</xdr:col>
      <xdr:colOff>502920</xdr:colOff>
      <xdr:row>21</xdr:row>
      <xdr:rowOff>160020</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541020</xdr:colOff>
      <xdr:row>7</xdr:row>
      <xdr:rowOff>91440</xdr:rowOff>
    </xdr:from>
    <xdr:to>
      <xdr:col>9</xdr:col>
      <xdr:colOff>99060</xdr:colOff>
      <xdr:row>22</xdr:row>
      <xdr:rowOff>91440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1059180</xdr:colOff>
      <xdr:row>6</xdr:row>
      <xdr:rowOff>160020</xdr:rowOff>
    </xdr:from>
    <xdr:to>
      <xdr:col>9</xdr:col>
      <xdr:colOff>76200</xdr:colOff>
      <xdr:row>21</xdr:row>
      <xdr:rowOff>160020</xdr:rowOff>
    </xdr:to>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45720</xdr:colOff>
      <xdr:row>6</xdr:row>
      <xdr:rowOff>160020</xdr:rowOff>
    </xdr:from>
    <xdr:to>
      <xdr:col>11</xdr:col>
      <xdr:colOff>213360</xdr:colOff>
      <xdr:row>21</xdr:row>
      <xdr:rowOff>160020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SWAN P N" refreshedDate="45988.035845254628" createdVersion="6" refreshedVersion="6" minRefreshableVersion="3" recordCount="88" xr:uid="{00000000-000A-0000-FFFF-FFFF12000000}">
  <cacheSource type="worksheet">
    <worksheetSource name="Table2"/>
  </cacheSource>
  <cacheFields count="17">
    <cacheField name="Product_ID" numFmtId="0">
      <sharedItems containsSemiMixedTypes="0" containsString="0" containsNumber="1" containsInteger="1" minValue="1001" maxValue="1100" count="88">
        <n v="1008"/>
        <n v="1064"/>
        <n v="1087"/>
        <n v="1094"/>
        <n v="1027"/>
        <n v="1046"/>
        <n v="1037"/>
        <n v="1018"/>
        <n v="1042"/>
        <n v="1052"/>
        <n v="1026"/>
        <n v="1080"/>
        <n v="1081"/>
        <n v="1092"/>
        <n v="1021"/>
        <n v="1044"/>
        <n v="1068"/>
        <n v="1029"/>
        <n v="1007"/>
        <n v="1099"/>
        <n v="1040"/>
        <n v="1038"/>
        <n v="1061"/>
        <n v="1074"/>
        <n v="1005"/>
        <n v="1016"/>
        <n v="1058"/>
        <n v="1083"/>
        <n v="1093"/>
        <n v="1009"/>
        <n v="1056"/>
        <n v="1034"/>
        <n v="1049"/>
        <n v="1063"/>
        <n v="1050"/>
        <n v="1071"/>
        <n v="1035"/>
        <n v="1002"/>
        <n v="1086"/>
        <n v="1069"/>
        <n v="1079"/>
        <n v="1032"/>
        <n v="1054"/>
        <n v="1011"/>
        <n v="1004"/>
        <n v="1023"/>
        <n v="1075"/>
        <n v="1066"/>
        <n v="1030"/>
        <n v="1017"/>
        <n v="1039"/>
        <n v="1047"/>
        <n v="1084"/>
        <n v="1100"/>
        <n v="1022"/>
        <n v="1072"/>
        <n v="1059"/>
        <n v="1091"/>
        <n v="1020"/>
        <n v="1096"/>
        <n v="1006"/>
        <n v="1057"/>
        <n v="1015"/>
        <n v="1048"/>
        <n v="1025"/>
        <n v="1053"/>
        <n v="1098"/>
        <n v="1036"/>
        <n v="1013"/>
        <n v="1012"/>
        <n v="1097"/>
        <n v="1019"/>
        <n v="1089"/>
        <n v="1024"/>
        <n v="1001"/>
        <n v="1033"/>
        <n v="1088"/>
        <n v="1090"/>
        <n v="1014"/>
        <n v="1065"/>
        <n v="1095"/>
        <n v="1043"/>
        <n v="1082"/>
        <n v="1055"/>
        <n v="1031"/>
        <n v="1045"/>
        <n v="1060"/>
        <n v="1003"/>
      </sharedItems>
    </cacheField>
    <cacheField name="Sale_Date" numFmtId="14">
      <sharedItems containsSemiMixedTypes="0" containsNonDate="0" containsDate="1" containsString="0" minDate="2023-01-01T00:00:00" maxDate="2024-01-01T00:00:00" count="88">
        <d v="2023-01-01T00:00:00"/>
        <d v="2023-01-04T00:00:00"/>
        <d v="2023-01-06T00:00:00"/>
        <d v="2023-01-10T00:00:00"/>
        <d v="2023-01-15T00:00:00"/>
        <d v="2023-01-20T00:00:00"/>
        <d v="2023-01-23T00:00:00"/>
        <d v="2023-01-26T00:00:00"/>
        <d v="2023-01-31T00:00:00"/>
        <d v="2023-02-03T00:00:00"/>
        <d v="2023-02-04T00:00:00"/>
        <d v="2023-02-05T00:00:00"/>
        <d v="2023-02-07T00:00:00"/>
        <d v="2023-02-09T00:00:00"/>
        <d v="2023-02-11T00:00:00"/>
        <d v="2023-02-16T00:00:00"/>
        <d v="2023-02-24T00:00:00"/>
        <d v="2023-03-01T00:00:00"/>
        <d v="2023-03-03T00:00:00"/>
        <d v="2023-03-04T00:00:00"/>
        <d v="2023-03-10T00:00:00"/>
        <d v="2023-03-11T00:00:00"/>
        <d v="2023-03-24T00:00:00"/>
        <d v="2023-03-25T00:00:00"/>
        <d v="2023-03-30T00:00:00"/>
        <d v="2023-03-31T00:00:00"/>
        <d v="2023-04-05T00:00:00"/>
        <d v="2023-04-11T00:00:00"/>
        <d v="2023-04-21T00:00:00"/>
        <d v="2023-04-28T00:00:00"/>
        <d v="2023-05-07T00:00:00"/>
        <d v="2023-05-10T00:00:00"/>
        <d v="2023-05-17T00:00:00"/>
        <d v="2023-05-18T00:00:00"/>
        <d v="2023-05-19T00:00:00"/>
        <d v="2023-05-20T00:00:00"/>
        <d v="2023-05-22T00:00:00"/>
        <d v="2023-05-30T00:00:00"/>
        <d v="2023-06-02T00:00:00"/>
        <d v="2023-06-03T00:00:00"/>
        <d v="2023-06-06T00:00:00"/>
        <d v="2023-06-08T00:00:00"/>
        <d v="2023-06-10T00:00:00"/>
        <d v="2023-06-14T00:00:00"/>
        <d v="2023-06-22T00:00:00"/>
        <d v="2023-06-28T00:00:00"/>
        <d v="2023-06-29T00:00:00"/>
        <d v="2023-07-03T00:00:00"/>
        <d v="2023-07-17T00:00:00"/>
        <d v="2023-07-21T00:00:00"/>
        <d v="2023-07-22T00:00:00"/>
        <d v="2023-08-08T00:00:00"/>
        <d v="2023-08-13T00:00:00"/>
        <d v="2023-08-14T00:00:00"/>
        <d v="2023-08-17T00:00:00"/>
        <d v="2023-08-24T00:00:00"/>
        <d v="2023-08-31T00:00:00"/>
        <d v="2023-09-04T00:00:00"/>
        <d v="2023-09-08T00:00:00"/>
        <d v="2023-09-11T00:00:00"/>
        <d v="2023-09-16T00:00:00"/>
        <d v="2023-09-18T00:00:00"/>
        <d v="2023-09-21T00:00:00"/>
        <d v="2023-09-30T00:00:00"/>
        <d v="2023-10-15T00:00:00"/>
        <d v="2023-10-16T00:00:00"/>
        <d v="2023-10-18T00:00:00"/>
        <d v="2023-10-20T00:00:00"/>
        <d v="2023-10-21T00:00:00"/>
        <d v="2023-10-22T00:00:00"/>
        <d v="2023-10-26T00:00:00"/>
        <d v="2023-10-29T00:00:00"/>
        <d v="2023-11-07T00:00:00"/>
        <d v="2023-11-11T00:00:00"/>
        <d v="2023-11-12T00:00:00"/>
        <d v="2023-11-14T00:00:00"/>
        <d v="2023-11-16T00:00:00"/>
        <d v="2023-11-20T00:00:00"/>
        <d v="2023-11-22T00:00:00"/>
        <d v="2023-11-24T00:00:00"/>
        <d v="2023-11-25T00:00:00"/>
        <d v="2023-11-26T00:00:00"/>
        <d v="2023-11-30T00:00:00"/>
        <d v="2023-12-01T00:00:00"/>
        <d v="2023-12-08T00:00:00"/>
        <d v="2023-12-15T00:00:00"/>
        <d v="2023-12-16T00:00:00"/>
        <d v="2023-12-31T00:00:00"/>
      </sharedItems>
      <fieldGroup par="16" base="1">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Sales_Rep" numFmtId="0">
      <sharedItems count="5">
        <s v="Eve"/>
        <s v="Bob"/>
        <s v="Alice"/>
        <s v="Charlie"/>
        <s v="David"/>
      </sharedItems>
    </cacheField>
    <cacheField name="Region" numFmtId="0">
      <sharedItems count="4">
        <s v="North"/>
        <s v="East"/>
        <s v="South"/>
        <s v="West"/>
      </sharedItems>
    </cacheField>
    <cacheField name="Quantity_Sold" numFmtId="0">
      <sharedItems containsSemiMixedTypes="0" containsString="0" containsNumber="1" minValue="1" maxValue="49" count="43">
        <n v="38"/>
        <n v="10"/>
        <n v="46"/>
        <n v="25"/>
        <n v="26"/>
        <n v="43"/>
        <n v="40"/>
        <n v="11"/>
        <n v="18"/>
        <n v="19"/>
        <n v="9"/>
        <n v="41"/>
        <n v="34"/>
        <n v="32"/>
        <n v="22"/>
        <n v="28"/>
        <n v="1"/>
        <n v="13"/>
        <n v="15"/>
        <n v="12"/>
        <n v="33"/>
        <n v="29"/>
        <n v="17"/>
        <n v="39"/>
        <n v="35"/>
        <n v="6"/>
        <n v="45"/>
        <n v="3"/>
        <n v="42"/>
        <n v="49"/>
        <n v="21"/>
        <n v="30"/>
        <n v="44"/>
        <n v="23"/>
        <n v="4"/>
        <n v="48"/>
        <n v="20"/>
        <n v="27"/>
        <n v="31"/>
        <n v="47"/>
        <n v="8"/>
        <n v="37"/>
        <n v="37.33"/>
      </sharedItems>
    </cacheField>
    <cacheField name="Product_Category" numFmtId="0">
      <sharedItems count="4">
        <s v="Clothing"/>
        <s v="Electronics"/>
        <s v="Furniture"/>
        <s v="Food"/>
      </sharedItems>
    </cacheField>
    <cacheField name="Sales_Amount" numFmtId="7">
      <sharedItems containsSemiMixedTypes="0" containsString="0" containsNumber="1" minValue="219.82" maxValue="9813.81" count="88">
        <n v="5227.8100000000004"/>
        <n v="7412.11"/>
        <n v="7698.92"/>
        <n v="2548.67"/>
        <n v="6261.2"/>
        <n v="4104.82"/>
        <n v="9813.81"/>
        <n v="3187.45"/>
        <n v="5207.03"/>
        <n v="5053.97"/>
        <n v="1554.93"/>
        <n v="245.46"/>
        <n v="3068.03"/>
        <n v="2749.17"/>
        <n v="3761.15"/>
        <n v="7754.1"/>
        <n v="5118.51"/>
        <n v="6773.89"/>
        <n v="4694.54"/>
        <n v="7952.11"/>
        <n v="2331.27"/>
        <n v="1452.35"/>
        <n v="3750.2"/>
        <n v="7499.7"/>
        <n v="6828.24"/>
        <n v="4309.76"/>
        <n v="2072.23"/>
        <n v="618.30999999999995"/>
        <n v="4384.0200000000004"/>
        <n v="1342.95"/>
        <n v="7611.88"/>
        <n v="4892.3599999999997"/>
        <n v="3741.08"/>
        <n v="3098.87"/>
        <n v="9744.52"/>
        <n v="3003.76"/>
        <n v="3780.22"/>
        <n v="6810.35"/>
        <n v="2495.5700000000002"/>
        <n v="6581.04"/>
        <n v="1982.07"/>
        <n v="219.82"/>
        <n v="7853.66"/>
        <n v="4531.97"/>
        <n v="7762.51"/>
        <n v="2170.94"/>
        <n v="4223.3900000000003"/>
        <n v="6380.2"/>
        <n v="3023.48"/>
        <n v="3388.69"/>
        <n v="6807.67"/>
        <n v="1331.25"/>
        <n v="1290.05"/>
        <n v="2198.7399999999998"/>
        <n v="8813.5499999999993"/>
        <n v="2167.94"/>
        <n v="1203.97"/>
        <n v="675.11"/>
        <n v="9733.4699999999993"/>
        <n v="7597.37"/>
        <n v="8995.75"/>
        <n v="7315.73"/>
        <n v="4631.2299999999996"/>
        <n v="7873.38"/>
        <n v="3422.54"/>
        <n v="2235.83"/>
        <n v="1600.79"/>
        <n v="6499.94"/>
        <n v="5039.07"/>
        <n v="4384.88"/>
        <n v="7633.98"/>
        <n v="5952.19"/>
        <n v="2945.36"/>
        <n v="6607.8"/>
        <n v="715.81"/>
        <n v="4011.8"/>
        <n v="8518.4500000000007"/>
        <n v="267.77999999999997"/>
        <n v="9762.5400000000009"/>
        <n v="9183.11"/>
        <n v="9432.9699999999993"/>
        <n v="1710.73"/>
        <n v="6261.9"/>
        <n v="4102.47"/>
        <n v="7567.06"/>
        <n v="3517.4"/>
        <n v="3224.71"/>
        <n v="4775.59"/>
      </sharedItems>
    </cacheField>
    <cacheField name="Unit_Cost" numFmtId="0">
      <sharedItems containsSemiMixedTypes="0" containsString="0" containsNumber="1" minValue="121.19" maxValue="4812.41"/>
    </cacheField>
    <cacheField name="Unit_Price" numFmtId="7">
      <sharedItems containsSemiMixedTypes="0" containsString="0" containsNumber="1" minValue="267.22000000000003" maxValue="5088"/>
    </cacheField>
    <cacheField name="Profit" numFmtId="7">
      <sharedItems containsSemiMixedTypes="0" containsString="0" containsNumber="1" minValue="26.86" maxValue="22108.95"/>
    </cacheField>
    <cacheField name="Discount" numFmtId="7">
      <sharedItems containsSemiMixedTypes="0" containsString="0" containsNumber="1" minValue="0" maxValue="1"/>
    </cacheField>
    <cacheField name="Profit Status" numFmtId="0">
      <sharedItems/>
    </cacheField>
    <cacheField name="Customer_Type" numFmtId="0">
      <sharedItems count="2">
        <s v="Returning"/>
        <s v="New"/>
      </sharedItems>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ount="20">
        <s v="North-Eve"/>
        <s v="East-Eve"/>
        <s v="South-Eve"/>
        <s v="West-Bob"/>
        <s v="North-Bob"/>
        <s v="East-Alice"/>
        <s v="North-Alice"/>
        <s v="West-Alice"/>
        <s v="South-Charlie"/>
        <s v="East-David"/>
        <s v="West-David"/>
        <s v="West-Charlie"/>
        <s v="South-David"/>
        <s v="West-Eve"/>
        <s v="East-Charlie"/>
        <s v="South-Bob"/>
        <s v="South-Alice"/>
        <s v="North-David"/>
        <s v="East-Bob"/>
        <s v="North-Charlie"/>
      </sharedItems>
    </cacheField>
    <cacheField name="Months" numFmtId="0" databaseField="0">
      <fieldGroup base="1">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1421693589"/>
    </ext>
  </extLst>
</pivotCacheDefinition>
</file>

<file path=xl/pivotCache/pivotCacheRecords1.xml><?xml version="1.0" encoding="utf-8"?>
<pivotCacheRecords xmlns="http://schemas.openxmlformats.org/spreadsheetml/2006/main" xmlns:r="http://schemas.openxmlformats.org/officeDocument/2006/relationships" count="88">
  <r>
    <x v="0"/>
    <x v="0"/>
    <x v="0"/>
    <x v="0"/>
    <x v="0"/>
    <x v="0"/>
    <x v="0"/>
    <n v="4635.2299999999996"/>
    <n v="5075.4399999999996"/>
    <n v="16727.98"/>
    <n v="0.05"/>
    <s v="High Profit"/>
    <x v="0"/>
    <x v="0"/>
    <x v="0"/>
    <x v="0"/>
  </r>
  <r>
    <x v="1"/>
    <x v="1"/>
    <x v="0"/>
    <x v="1"/>
    <x v="1"/>
    <x v="1"/>
    <x v="1"/>
    <n v="4764.96"/>
    <n v="5074.42"/>
    <n v="3094.6"/>
    <n v="0.12"/>
    <s v="Low Profit"/>
    <x v="1"/>
    <x v="0"/>
    <x v="0"/>
    <x v="1"/>
  </r>
  <r>
    <x v="2"/>
    <x v="2"/>
    <x v="0"/>
    <x v="2"/>
    <x v="2"/>
    <x v="2"/>
    <x v="2"/>
    <n v="3702.51"/>
    <n v="3964.65"/>
    <n v="12058.44"/>
    <n v="0.12"/>
    <s v=" High Profit"/>
    <x v="1"/>
    <x v="1"/>
    <x v="0"/>
    <x v="2"/>
  </r>
  <r>
    <x v="3"/>
    <x v="3"/>
    <x v="0"/>
    <x v="0"/>
    <x v="3"/>
    <x v="1"/>
    <x v="3"/>
    <n v="1933.39"/>
    <n v="1982.92"/>
    <n v="1238.25"/>
    <n v="0.17"/>
    <s v="Low Profit"/>
    <x v="1"/>
    <x v="1"/>
    <x v="0"/>
    <x v="0"/>
  </r>
  <r>
    <x v="4"/>
    <x v="4"/>
    <x v="1"/>
    <x v="3"/>
    <x v="4"/>
    <x v="3"/>
    <x v="4"/>
    <n v="149.11000000000001"/>
    <n v="477.67"/>
    <n v="8542.56"/>
    <n v="0.14000000000000001"/>
    <s v=" High Profit"/>
    <x v="0"/>
    <x v="0"/>
    <x v="1"/>
    <x v="3"/>
  </r>
  <r>
    <x v="5"/>
    <x v="5"/>
    <x v="0"/>
    <x v="1"/>
    <x v="5"/>
    <x v="0"/>
    <x v="5"/>
    <n v="4052.42"/>
    <n v="4199.3"/>
    <n v="6315.84"/>
    <n v="0.1"/>
    <s v=" High Profit"/>
    <x v="1"/>
    <x v="1"/>
    <x v="1"/>
    <x v="1"/>
  </r>
  <r>
    <x v="6"/>
    <x v="6"/>
    <x v="1"/>
    <x v="0"/>
    <x v="6"/>
    <x v="0"/>
    <x v="6"/>
    <n v="2790.11"/>
    <n v="3192.37"/>
    <n v="16090.4"/>
    <n v="0.26"/>
    <s v=" High Profit"/>
    <x v="0"/>
    <x v="1"/>
    <x v="0"/>
    <x v="4"/>
  </r>
  <r>
    <x v="7"/>
    <x v="7"/>
    <x v="2"/>
    <x v="1"/>
    <x v="7"/>
    <x v="0"/>
    <x v="7"/>
    <n v="2414.8200000000002"/>
    <n v="2519.0700000000002"/>
    <n v="1146.75"/>
    <n v="0"/>
    <s v="Low Profit"/>
    <x v="0"/>
    <x v="0"/>
    <x v="0"/>
    <x v="5"/>
  </r>
  <r>
    <x v="8"/>
    <x v="8"/>
    <x v="2"/>
    <x v="0"/>
    <x v="7"/>
    <x v="3"/>
    <x v="8"/>
    <n v="635.20000000000005"/>
    <n v="814.14"/>
    <n v="1968.34"/>
    <n v="0.02"/>
    <s v="Low Profit"/>
    <x v="0"/>
    <x v="0"/>
    <x v="0"/>
    <x v="6"/>
  </r>
  <r>
    <x v="9"/>
    <x v="9"/>
    <x v="1"/>
    <x v="0"/>
    <x v="8"/>
    <x v="2"/>
    <x v="9"/>
    <n v="152.75"/>
    <n v="267.22000000000003"/>
    <n v="2060.46"/>
    <n v="0.09"/>
    <s v="Low Profit"/>
    <x v="0"/>
    <x v="0"/>
    <x v="0"/>
    <x v="4"/>
  </r>
  <r>
    <x v="10"/>
    <x v="10"/>
    <x v="2"/>
    <x v="3"/>
    <x v="9"/>
    <x v="1"/>
    <x v="10"/>
    <n v="1265.48"/>
    <n v="1715.83"/>
    <n v="8556.65"/>
    <n v="0.05"/>
    <s v=" High Profit"/>
    <x v="1"/>
    <x v="2"/>
    <x v="1"/>
    <x v="7"/>
  </r>
  <r>
    <x v="11"/>
    <x v="11"/>
    <x v="3"/>
    <x v="2"/>
    <x v="10"/>
    <x v="1"/>
    <x v="11"/>
    <n v="1141.52"/>
    <n v="1550.19"/>
    <n v="3678.03"/>
    <n v="0.28000000000000003"/>
    <s v="Low Profit"/>
    <x v="1"/>
    <x v="2"/>
    <x v="1"/>
    <x v="8"/>
  </r>
  <r>
    <x v="12"/>
    <x v="12"/>
    <x v="4"/>
    <x v="1"/>
    <x v="11"/>
    <x v="2"/>
    <x v="12"/>
    <n v="2782.08"/>
    <n v="2879.24"/>
    <n v="3983.56"/>
    <n v="0.21"/>
    <s v="Low Profit"/>
    <x v="1"/>
    <x v="1"/>
    <x v="0"/>
    <x v="9"/>
  </r>
  <r>
    <x v="13"/>
    <x v="13"/>
    <x v="4"/>
    <x v="3"/>
    <x v="12"/>
    <x v="2"/>
    <x v="13"/>
    <n v="2037.41"/>
    <n v="2238.65"/>
    <n v="6842.16"/>
    <n v="0.3"/>
    <s v=" High Profit"/>
    <x v="1"/>
    <x v="2"/>
    <x v="0"/>
    <x v="10"/>
  </r>
  <r>
    <x v="14"/>
    <x v="14"/>
    <x v="3"/>
    <x v="3"/>
    <x v="13"/>
    <x v="3"/>
    <x v="14"/>
    <n v="900.79"/>
    <n v="1106.51"/>
    <n v="6583.04"/>
    <n v="0.21"/>
    <s v=" High Profit"/>
    <x v="1"/>
    <x v="0"/>
    <x v="0"/>
    <x v="11"/>
  </r>
  <r>
    <x v="15"/>
    <x v="15"/>
    <x v="4"/>
    <x v="2"/>
    <x v="14"/>
    <x v="3"/>
    <x v="15"/>
    <n v="3373.46"/>
    <n v="3454.76"/>
    <n v="1788.6"/>
    <n v="0.22"/>
    <s v="Low Profit"/>
    <x v="0"/>
    <x v="1"/>
    <x v="1"/>
    <x v="12"/>
  </r>
  <r>
    <x v="16"/>
    <x v="16"/>
    <x v="1"/>
    <x v="0"/>
    <x v="14"/>
    <x v="0"/>
    <x v="16"/>
    <n v="3619.61"/>
    <n v="3651.42"/>
    <n v="699.82"/>
    <n v="0.26"/>
    <s v="Low Profit"/>
    <x v="0"/>
    <x v="1"/>
    <x v="0"/>
    <x v="4"/>
  </r>
  <r>
    <x v="17"/>
    <x v="17"/>
    <x v="4"/>
    <x v="1"/>
    <x v="15"/>
    <x v="0"/>
    <x v="17"/>
    <n v="2873.53"/>
    <n v="3108.3"/>
    <n v="6573.56"/>
    <n v="0.15"/>
    <s v=" High Profit"/>
    <x v="1"/>
    <x v="2"/>
    <x v="1"/>
    <x v="9"/>
  </r>
  <r>
    <x v="18"/>
    <x v="18"/>
    <x v="0"/>
    <x v="3"/>
    <x v="16"/>
    <x v="3"/>
    <x v="18"/>
    <n v="2543.2600000000002"/>
    <n v="2637.91"/>
    <n v="94.65"/>
    <n v="0.2"/>
    <s v="Low Profit"/>
    <x v="0"/>
    <x v="2"/>
    <x v="0"/>
    <x v="13"/>
  </r>
  <r>
    <x v="19"/>
    <x v="19"/>
    <x v="4"/>
    <x v="1"/>
    <x v="1"/>
    <x v="2"/>
    <x v="19"/>
    <n v="1531.2"/>
    <n v="1955.56"/>
    <n v="4243.6000000000004"/>
    <n v="0"/>
    <s v="Low Profit"/>
    <x v="1"/>
    <x v="2"/>
    <x v="0"/>
    <x v="9"/>
  </r>
  <r>
    <x v="20"/>
    <x v="20"/>
    <x v="3"/>
    <x v="1"/>
    <x v="17"/>
    <x v="0"/>
    <x v="20"/>
    <n v="2750.18"/>
    <n v="2882.85"/>
    <n v="1724.71"/>
    <n v="0.24"/>
    <s v="Low Profit"/>
    <x v="0"/>
    <x v="2"/>
    <x v="0"/>
    <x v="14"/>
  </r>
  <r>
    <x v="21"/>
    <x v="21"/>
    <x v="1"/>
    <x v="2"/>
    <x v="18"/>
    <x v="0"/>
    <x v="21"/>
    <n v="2543.36"/>
    <n v="2790.1"/>
    <n v="3701.1"/>
    <n v="7.0000000000000007E-2"/>
    <s v="Low Profit"/>
    <x v="0"/>
    <x v="0"/>
    <x v="0"/>
    <x v="15"/>
  </r>
  <r>
    <x v="22"/>
    <x v="22"/>
    <x v="3"/>
    <x v="1"/>
    <x v="17"/>
    <x v="1"/>
    <x v="22"/>
    <n v="637.37"/>
    <n v="692.71"/>
    <n v="719.42"/>
    <n v="0.08"/>
    <s v="Low Profit"/>
    <x v="1"/>
    <x v="2"/>
    <x v="0"/>
    <x v="14"/>
  </r>
  <r>
    <x v="23"/>
    <x v="23"/>
    <x v="0"/>
    <x v="3"/>
    <x v="0"/>
    <x v="3"/>
    <x v="23"/>
    <n v="2610.6"/>
    <n v="2836.94"/>
    <n v="8600.92"/>
    <n v="0.19"/>
    <s v=" High Profit"/>
    <x v="0"/>
    <x v="2"/>
    <x v="0"/>
    <x v="13"/>
  </r>
  <r>
    <x v="24"/>
    <x v="24"/>
    <x v="2"/>
    <x v="1"/>
    <x v="19"/>
    <x v="1"/>
    <x v="24"/>
    <n v="319.83"/>
    <n v="802.43"/>
    <n v="5791.2"/>
    <n v="0.04"/>
    <s v=" High Profit"/>
    <x v="1"/>
    <x v="2"/>
    <x v="1"/>
    <x v="5"/>
  </r>
  <r>
    <x v="25"/>
    <x v="25"/>
    <x v="0"/>
    <x v="1"/>
    <x v="0"/>
    <x v="1"/>
    <x v="25"/>
    <n v="3883.38"/>
    <n v="4152.72"/>
    <n v="10234.92"/>
    <n v="0.26"/>
    <s v=" High Profit"/>
    <x v="0"/>
    <x v="0"/>
    <x v="0"/>
    <x v="1"/>
  </r>
  <r>
    <x v="26"/>
    <x v="26"/>
    <x v="2"/>
    <x v="0"/>
    <x v="20"/>
    <x v="2"/>
    <x v="26"/>
    <n v="1011.65"/>
    <n v="1084.28"/>
    <n v="2396.79"/>
    <n v="7.0000000000000007E-2"/>
    <s v="Low Profit"/>
    <x v="0"/>
    <x v="1"/>
    <x v="1"/>
    <x v="6"/>
  </r>
  <r>
    <x v="27"/>
    <x v="27"/>
    <x v="1"/>
    <x v="3"/>
    <x v="21"/>
    <x v="2"/>
    <x v="27"/>
    <n v="2408.81"/>
    <n v="2624.09"/>
    <n v="6243.12"/>
    <n v="0.14000000000000001"/>
    <s v=" High Profit"/>
    <x v="0"/>
    <x v="0"/>
    <x v="0"/>
    <x v="3"/>
  </r>
  <r>
    <x v="28"/>
    <x v="28"/>
    <x v="1"/>
    <x v="3"/>
    <x v="22"/>
    <x v="2"/>
    <x v="28"/>
    <n v="3816.39"/>
    <n v="4209.4399999999996"/>
    <n v="6681.85"/>
    <n v="0.11"/>
    <s v=" High Profit"/>
    <x v="0"/>
    <x v="0"/>
    <x v="1"/>
    <x v="3"/>
  </r>
  <r>
    <x v="29"/>
    <x v="29"/>
    <x v="2"/>
    <x v="0"/>
    <x v="20"/>
    <x v="0"/>
    <x v="29"/>
    <n v="2278.9"/>
    <n v="2626.9"/>
    <n v="11484"/>
    <n v="0.05"/>
    <s v=" High Profit"/>
    <x v="1"/>
    <x v="2"/>
    <x v="0"/>
    <x v="6"/>
  </r>
  <r>
    <x v="30"/>
    <x v="30"/>
    <x v="4"/>
    <x v="1"/>
    <x v="15"/>
    <x v="0"/>
    <x v="30"/>
    <n v="1566.03"/>
    <n v="1576.34"/>
    <n v="288.68"/>
    <n v="0.2"/>
    <s v="Low Profit"/>
    <x v="0"/>
    <x v="1"/>
    <x v="0"/>
    <x v="9"/>
  </r>
  <r>
    <x v="31"/>
    <x v="31"/>
    <x v="0"/>
    <x v="1"/>
    <x v="9"/>
    <x v="0"/>
    <x v="31"/>
    <n v="1922.21"/>
    <n v="2180.83"/>
    <n v="4913.78"/>
    <n v="0.17"/>
    <s v="Low Profit"/>
    <x v="0"/>
    <x v="2"/>
    <x v="1"/>
    <x v="1"/>
  </r>
  <r>
    <x v="32"/>
    <x v="32"/>
    <x v="2"/>
    <x v="3"/>
    <x v="16"/>
    <x v="2"/>
    <x v="32"/>
    <n v="3290.89"/>
    <n v="3317.75"/>
    <n v="26.86"/>
    <n v="0.17"/>
    <s v="Low Profit"/>
    <x v="0"/>
    <x v="1"/>
    <x v="0"/>
    <x v="7"/>
  </r>
  <r>
    <x v="33"/>
    <x v="33"/>
    <x v="1"/>
    <x v="3"/>
    <x v="23"/>
    <x v="3"/>
    <x v="33"/>
    <n v="3577.69"/>
    <n v="3931.25"/>
    <n v="13788.84"/>
    <n v="0.21"/>
    <s v=" High Profit"/>
    <x v="0"/>
    <x v="0"/>
    <x v="1"/>
    <x v="3"/>
  </r>
  <r>
    <x v="34"/>
    <x v="34"/>
    <x v="3"/>
    <x v="1"/>
    <x v="24"/>
    <x v="0"/>
    <x v="34"/>
    <n v="2158.69"/>
    <n v="2384.38"/>
    <n v="7899.15"/>
    <n v="0.09"/>
    <s v=" High Profit"/>
    <x v="0"/>
    <x v="1"/>
    <x v="1"/>
    <x v="14"/>
  </r>
  <r>
    <x v="35"/>
    <x v="35"/>
    <x v="0"/>
    <x v="3"/>
    <x v="25"/>
    <x v="2"/>
    <x v="35"/>
    <n v="2831.23"/>
    <n v="3206.98"/>
    <n v="2254.5"/>
    <n v="0.06"/>
    <s v="Low Profit"/>
    <x v="0"/>
    <x v="1"/>
    <x v="1"/>
    <x v="13"/>
  </r>
  <r>
    <x v="36"/>
    <x v="36"/>
    <x v="2"/>
    <x v="2"/>
    <x v="26"/>
    <x v="3"/>
    <x v="36"/>
    <n v="4132.79"/>
    <n v="4624.1000000000004"/>
    <n v="22108.95"/>
    <n v="0.15"/>
    <s v=" High Profit"/>
    <x v="1"/>
    <x v="2"/>
    <x v="1"/>
    <x v="16"/>
  </r>
  <r>
    <x v="37"/>
    <x v="37"/>
    <x v="4"/>
    <x v="0"/>
    <x v="22"/>
    <x v="2"/>
    <x v="37"/>
    <n v="4024.76"/>
    <n v="4420.1499999999996"/>
    <n v="6721.63"/>
    <n v="0.04"/>
    <s v=" High Profit"/>
    <x v="0"/>
    <x v="0"/>
    <x v="0"/>
    <x v="17"/>
  </r>
  <r>
    <x v="38"/>
    <x v="38"/>
    <x v="1"/>
    <x v="1"/>
    <x v="27"/>
    <x v="1"/>
    <x v="38"/>
    <n v="1595.35"/>
    <n v="1625.71"/>
    <n v="91.08"/>
    <n v="0.27"/>
    <s v="Low Profit"/>
    <x v="1"/>
    <x v="0"/>
    <x v="0"/>
    <x v="18"/>
  </r>
  <r>
    <x v="39"/>
    <x v="39"/>
    <x v="4"/>
    <x v="3"/>
    <x v="28"/>
    <x v="0"/>
    <x v="39"/>
    <n v="1434.2"/>
    <n v="1482.88"/>
    <n v="2044.56"/>
    <n v="0.28000000000000003"/>
    <s v="Low Profit"/>
    <x v="1"/>
    <x v="2"/>
    <x v="1"/>
    <x v="10"/>
  </r>
  <r>
    <x v="40"/>
    <x v="40"/>
    <x v="4"/>
    <x v="2"/>
    <x v="12"/>
    <x v="2"/>
    <x v="40"/>
    <n v="1967.96"/>
    <n v="1993.4"/>
    <n v="864.96"/>
    <n v="0.15"/>
    <s v="Low Profit"/>
    <x v="0"/>
    <x v="2"/>
    <x v="0"/>
    <x v="12"/>
  </r>
  <r>
    <x v="41"/>
    <x v="41"/>
    <x v="0"/>
    <x v="3"/>
    <x v="29"/>
    <x v="1"/>
    <x v="41"/>
    <n v="4812.41"/>
    <n v="5088"/>
    <n v="13503.91"/>
    <n v="0.09"/>
    <s v=" High Profit"/>
    <x v="0"/>
    <x v="2"/>
    <x v="0"/>
    <x v="13"/>
  </r>
  <r>
    <x v="42"/>
    <x v="42"/>
    <x v="1"/>
    <x v="2"/>
    <x v="30"/>
    <x v="2"/>
    <x v="42"/>
    <n v="4668.1400000000003"/>
    <n v="5040.22"/>
    <n v="7813.68"/>
    <n v="0.05"/>
    <s v=" High Profit"/>
    <x v="1"/>
    <x v="1"/>
    <x v="0"/>
    <x v="15"/>
  </r>
  <r>
    <x v="43"/>
    <x v="43"/>
    <x v="2"/>
    <x v="2"/>
    <x v="0"/>
    <x v="2"/>
    <x v="43"/>
    <n v="4456.67"/>
    <n v="4642.46"/>
    <n v="7060.02"/>
    <n v="0.06"/>
    <s v=" High Profit"/>
    <x v="1"/>
    <x v="1"/>
    <x v="0"/>
    <x v="16"/>
  </r>
  <r>
    <x v="44"/>
    <x v="44"/>
    <x v="0"/>
    <x v="2"/>
    <x v="23"/>
    <x v="1"/>
    <x v="44"/>
    <n v="2416.89"/>
    <n v="2778.4"/>
    <n v="14098.89"/>
    <n v="0.05"/>
    <s v=" High Profit"/>
    <x v="0"/>
    <x v="0"/>
    <x v="0"/>
    <x v="2"/>
  </r>
  <r>
    <x v="45"/>
    <x v="45"/>
    <x v="0"/>
    <x v="1"/>
    <x v="10"/>
    <x v="0"/>
    <x v="45"/>
    <n v="4155.46"/>
    <n v="4273.6000000000004"/>
    <n v="1063.26"/>
    <n v="0.25"/>
    <s v="Low Profit"/>
    <x v="0"/>
    <x v="0"/>
    <x v="1"/>
    <x v="1"/>
  </r>
  <r>
    <x v="46"/>
    <x v="46"/>
    <x v="4"/>
    <x v="2"/>
    <x v="31"/>
    <x v="2"/>
    <x v="46"/>
    <n v="738.06"/>
    <n v="1095.45"/>
    <n v="10721.7"/>
    <n v="0.05"/>
    <s v=" High Profit"/>
    <x v="1"/>
    <x v="1"/>
    <x v="0"/>
    <x v="12"/>
  </r>
  <r>
    <x v="47"/>
    <x v="47"/>
    <x v="3"/>
    <x v="0"/>
    <x v="18"/>
    <x v="2"/>
    <x v="47"/>
    <n v="2579.31"/>
    <n v="2867.36"/>
    <n v="4320.75"/>
    <n v="0.04"/>
    <s v="Low Profit"/>
    <x v="0"/>
    <x v="1"/>
    <x v="1"/>
    <x v="19"/>
  </r>
  <r>
    <x v="48"/>
    <x v="48"/>
    <x v="4"/>
    <x v="3"/>
    <x v="9"/>
    <x v="0"/>
    <x v="48"/>
    <n v="3049.33"/>
    <n v="3209.22"/>
    <n v="3037.91"/>
    <n v="0.26"/>
    <s v="Low Profit"/>
    <x v="0"/>
    <x v="0"/>
    <x v="0"/>
    <x v="10"/>
  </r>
  <r>
    <x v="49"/>
    <x v="49"/>
    <x v="4"/>
    <x v="1"/>
    <x v="16"/>
    <x v="3"/>
    <x v="49"/>
    <n v="172.59"/>
    <n v="404.69"/>
    <n v="232.1"/>
    <n v="0.28999999999999998"/>
    <s v="Low Profit"/>
    <x v="0"/>
    <x v="1"/>
    <x v="0"/>
    <x v="9"/>
  </r>
  <r>
    <x v="50"/>
    <x v="50"/>
    <x v="2"/>
    <x v="1"/>
    <x v="28"/>
    <x v="0"/>
    <x v="50"/>
    <n v="3120.19"/>
    <n v="3600.14"/>
    <n v="20157.900000000001"/>
    <n v="0.19"/>
    <s v=" High Profit"/>
    <x v="0"/>
    <x v="2"/>
    <x v="1"/>
    <x v="5"/>
  </r>
  <r>
    <x v="51"/>
    <x v="51"/>
    <x v="4"/>
    <x v="0"/>
    <x v="20"/>
    <x v="1"/>
    <x v="51"/>
    <n v="1341.55"/>
    <n v="1427.21"/>
    <n v="2826.78"/>
    <n v="0.15"/>
    <s v="Low Profit"/>
    <x v="0"/>
    <x v="2"/>
    <x v="0"/>
    <x v="17"/>
  </r>
  <r>
    <x v="52"/>
    <x v="52"/>
    <x v="2"/>
    <x v="3"/>
    <x v="30"/>
    <x v="2"/>
    <x v="52"/>
    <n v="3497.98"/>
    <n v="3765.31"/>
    <n v="5613.93"/>
    <n v="0.08"/>
    <s v=" High Profit"/>
    <x v="1"/>
    <x v="0"/>
    <x v="0"/>
    <x v="7"/>
  </r>
  <r>
    <x v="53"/>
    <x v="53"/>
    <x v="1"/>
    <x v="3"/>
    <x v="5"/>
    <x v="3"/>
    <x v="53"/>
    <n v="1100.81"/>
    <n v="1137.44"/>
    <n v="1575.09"/>
    <n v="0.08"/>
    <s v="Low Profit"/>
    <x v="0"/>
    <x v="1"/>
    <x v="0"/>
    <x v="3"/>
  </r>
  <r>
    <x v="54"/>
    <x v="54"/>
    <x v="3"/>
    <x v="2"/>
    <x v="30"/>
    <x v="3"/>
    <x v="54"/>
    <n v="2537.1999999999998"/>
    <n v="2869.6"/>
    <n v="6980.4"/>
    <n v="0.28999999999999998"/>
    <s v=" High Profit"/>
    <x v="1"/>
    <x v="1"/>
    <x v="1"/>
    <x v="8"/>
  </r>
  <r>
    <x v="55"/>
    <x v="55"/>
    <x v="1"/>
    <x v="2"/>
    <x v="23"/>
    <x v="0"/>
    <x v="55"/>
    <n v="4330.03"/>
    <n v="4467.75"/>
    <n v="5371.08"/>
    <n v="0.02"/>
    <s v=" High Profit"/>
    <x v="1"/>
    <x v="2"/>
    <x v="1"/>
    <x v="15"/>
  </r>
  <r>
    <x v="56"/>
    <x v="56"/>
    <x v="2"/>
    <x v="0"/>
    <x v="24"/>
    <x v="3"/>
    <x v="56"/>
    <n v="3333.64"/>
    <n v="3764.52"/>
    <n v="15080.8"/>
    <n v="0.02"/>
    <s v=" High Profit"/>
    <x v="0"/>
    <x v="2"/>
    <x v="0"/>
    <x v="6"/>
  </r>
  <r>
    <x v="57"/>
    <x v="57"/>
    <x v="3"/>
    <x v="2"/>
    <x v="32"/>
    <x v="3"/>
    <x v="57"/>
    <n v="2085.46"/>
    <n v="2406.58"/>
    <n v="14129.28"/>
    <n v="0.06"/>
    <s v=" High Profit"/>
    <x v="0"/>
    <x v="1"/>
    <x v="1"/>
    <x v="8"/>
  </r>
  <r>
    <x v="58"/>
    <x v="58"/>
    <x v="0"/>
    <x v="0"/>
    <x v="4"/>
    <x v="0"/>
    <x v="58"/>
    <n v="4472.3500000000004"/>
    <n v="4770.42"/>
    <n v="7749.82"/>
    <n v="0.01"/>
    <s v=" High Profit"/>
    <x v="1"/>
    <x v="2"/>
    <x v="1"/>
    <x v="0"/>
  </r>
  <r>
    <x v="59"/>
    <x v="59"/>
    <x v="0"/>
    <x v="2"/>
    <x v="33"/>
    <x v="1"/>
    <x v="59"/>
    <n v="608.57000000000005"/>
    <n v="1032.22"/>
    <n v="9743.9500000000007"/>
    <n v="0.25"/>
    <s v=" High Profit"/>
    <x v="1"/>
    <x v="0"/>
    <x v="1"/>
    <x v="2"/>
  </r>
  <r>
    <x v="60"/>
    <x v="60"/>
    <x v="1"/>
    <x v="0"/>
    <x v="29"/>
    <x v="3"/>
    <x v="60"/>
    <n v="2843.76"/>
    <n v="3146.6"/>
    <n v="14839.16"/>
    <n v="0.08"/>
    <s v=" High Profit"/>
    <x v="1"/>
    <x v="0"/>
    <x v="1"/>
    <x v="4"/>
  </r>
  <r>
    <x v="61"/>
    <x v="61"/>
    <x v="3"/>
    <x v="3"/>
    <x v="3"/>
    <x v="3"/>
    <x v="61"/>
    <n v="1821.91"/>
    <n v="2027.74"/>
    <n v="5145.75"/>
    <n v="0.02"/>
    <s v=" High Profit"/>
    <x v="1"/>
    <x v="1"/>
    <x v="1"/>
    <x v="11"/>
  </r>
  <r>
    <x v="62"/>
    <x v="62"/>
    <x v="4"/>
    <x v="2"/>
    <x v="31"/>
    <x v="3"/>
    <x v="62"/>
    <n v="261.56"/>
    <n v="371.4"/>
    <n v="3295.2"/>
    <n v="0.2"/>
    <s v="Low Profit"/>
    <x v="0"/>
    <x v="1"/>
    <x v="1"/>
    <x v="12"/>
  </r>
  <r>
    <x v="63"/>
    <x v="63"/>
    <x v="3"/>
    <x v="0"/>
    <x v="34"/>
    <x v="2"/>
    <x v="63"/>
    <n v="2900.14"/>
    <n v="2910.51"/>
    <n v="41.48"/>
    <n v="0.22"/>
    <s v="Low Profit"/>
    <x v="1"/>
    <x v="2"/>
    <x v="1"/>
    <x v="19"/>
  </r>
  <r>
    <x v="64"/>
    <x v="64"/>
    <x v="4"/>
    <x v="0"/>
    <x v="32"/>
    <x v="3"/>
    <x v="64"/>
    <n v="1485.72"/>
    <n v="1717.97"/>
    <n v="10219"/>
    <n v="0.02"/>
    <s v=" High Profit"/>
    <x v="1"/>
    <x v="2"/>
    <x v="1"/>
    <x v="17"/>
  </r>
  <r>
    <x v="65"/>
    <x v="65"/>
    <x v="1"/>
    <x v="0"/>
    <x v="35"/>
    <x v="2"/>
    <x v="65"/>
    <n v="121.19"/>
    <n v="487.65"/>
    <n v="17590.080000000002"/>
    <n v="0.18"/>
    <s v=" High Profit"/>
    <x v="1"/>
    <x v="0"/>
    <x v="1"/>
    <x v="4"/>
  </r>
  <r>
    <x v="66"/>
    <x v="66"/>
    <x v="0"/>
    <x v="3"/>
    <x v="30"/>
    <x v="2"/>
    <x v="66"/>
    <n v="725.03"/>
    <n v="828.95"/>
    <n v="2182.3200000000002"/>
    <n v="0.18"/>
    <s v="Low Profit"/>
    <x v="1"/>
    <x v="1"/>
    <x v="0"/>
    <x v="13"/>
  </r>
  <r>
    <x v="67"/>
    <x v="67"/>
    <x v="4"/>
    <x v="0"/>
    <x v="29"/>
    <x v="0"/>
    <x v="67"/>
    <n v="1247.0999999999999"/>
    <n v="1429.44"/>
    <n v="8934.66"/>
    <n v="0.16"/>
    <s v=" High Profit"/>
    <x v="1"/>
    <x v="0"/>
    <x v="0"/>
    <x v="17"/>
  </r>
  <r>
    <x v="68"/>
    <x v="68"/>
    <x v="4"/>
    <x v="1"/>
    <x v="36"/>
    <x v="1"/>
    <x v="68"/>
    <n v="1533.36"/>
    <n v="1649.74"/>
    <n v="2327.6"/>
    <n v="0.1"/>
    <s v="Low Profit"/>
    <x v="0"/>
    <x v="1"/>
    <x v="0"/>
    <x v="9"/>
  </r>
  <r>
    <x v="69"/>
    <x v="69"/>
    <x v="4"/>
    <x v="0"/>
    <x v="12"/>
    <x v="2"/>
    <x v="69"/>
    <n v="2462.5500000000002"/>
    <n v="2521.77"/>
    <n v="2013.48"/>
    <n v="0.21"/>
    <s v="Low Profit"/>
    <x v="1"/>
    <x v="1"/>
    <x v="1"/>
    <x v="17"/>
  </r>
  <r>
    <x v="70"/>
    <x v="70"/>
    <x v="2"/>
    <x v="1"/>
    <x v="37"/>
    <x v="1"/>
    <x v="70"/>
    <n v="4686.79"/>
    <n v="5046.51"/>
    <n v="9712.44"/>
    <n v="0.05"/>
    <s v=" High Profit"/>
    <x v="0"/>
    <x v="2"/>
    <x v="1"/>
    <x v="5"/>
  </r>
  <r>
    <x v="71"/>
    <x v="71"/>
    <x v="4"/>
    <x v="3"/>
    <x v="38"/>
    <x v="3"/>
    <x v="71"/>
    <n v="333.69"/>
    <n v="685.1"/>
    <n v="10893.71"/>
    <n v="0.04"/>
    <s v=" High Profit"/>
    <x v="1"/>
    <x v="1"/>
    <x v="0"/>
    <x v="10"/>
  </r>
  <r>
    <x v="72"/>
    <x v="72"/>
    <x v="1"/>
    <x v="3"/>
    <x v="39"/>
    <x v="2"/>
    <x v="72"/>
    <n v="4157.62"/>
    <n v="4314.5600000000004"/>
    <n v="7376.18"/>
    <n v="0.17"/>
    <s v=" High Profit"/>
    <x v="1"/>
    <x v="1"/>
    <x v="1"/>
    <x v="3"/>
  </r>
  <r>
    <x v="73"/>
    <x v="73"/>
    <x v="0"/>
    <x v="3"/>
    <x v="30"/>
    <x v="3"/>
    <x v="73"/>
    <n v="622.01"/>
    <n v="641.09"/>
    <n v="400.68"/>
    <n v="0"/>
    <s v="Low Profit"/>
    <x v="0"/>
    <x v="1"/>
    <x v="1"/>
    <x v="13"/>
  </r>
  <r>
    <x v="74"/>
    <x v="74"/>
    <x v="2"/>
    <x v="0"/>
    <x v="40"/>
    <x v="1"/>
    <x v="74"/>
    <n v="3657.91"/>
    <n v="3729.27"/>
    <n v="570.88"/>
    <n v="0.09"/>
    <s v="Low Profit"/>
    <x v="1"/>
    <x v="1"/>
    <x v="1"/>
    <x v="6"/>
  </r>
  <r>
    <x v="75"/>
    <x v="75"/>
    <x v="4"/>
    <x v="2"/>
    <x v="33"/>
    <x v="2"/>
    <x v="75"/>
    <n v="2981.5"/>
    <n v="3360.4"/>
    <n v="8714.7000000000007"/>
    <n v="0.22"/>
    <s v=" High Profit"/>
    <x v="0"/>
    <x v="1"/>
    <x v="1"/>
    <x v="12"/>
  </r>
  <r>
    <x v="76"/>
    <x v="76"/>
    <x v="0"/>
    <x v="0"/>
    <x v="17"/>
    <x v="2"/>
    <x v="76"/>
    <n v="2440.11"/>
    <n v="2517.6"/>
    <n v="1007.37"/>
    <n v="0.23"/>
    <s v="Low Profit"/>
    <x v="1"/>
    <x v="1"/>
    <x v="1"/>
    <x v="0"/>
  </r>
  <r>
    <x v="77"/>
    <x v="77"/>
    <x v="2"/>
    <x v="3"/>
    <x v="13"/>
    <x v="1"/>
    <x v="77"/>
    <n v="2678.99"/>
    <n v="3152.28"/>
    <n v="15145.28"/>
    <n v="0.22"/>
    <s v=" High Profit"/>
    <x v="0"/>
    <x v="0"/>
    <x v="1"/>
    <x v="7"/>
  </r>
  <r>
    <x v="78"/>
    <x v="78"/>
    <x v="4"/>
    <x v="3"/>
    <x v="22"/>
    <x v="3"/>
    <x v="78"/>
    <n v="3184.65"/>
    <n v="3204.01"/>
    <n v="329.12"/>
    <n v="0.2"/>
    <s v="Low Profit"/>
    <x v="1"/>
    <x v="1"/>
    <x v="0"/>
    <x v="10"/>
  </r>
  <r>
    <x v="79"/>
    <x v="79"/>
    <x v="1"/>
    <x v="1"/>
    <x v="8"/>
    <x v="3"/>
    <x v="79"/>
    <n v="1239.0899999999999"/>
    <n v="1273.98"/>
    <n v="628.02"/>
    <n v="0.02"/>
    <s v="Low Profit"/>
    <x v="1"/>
    <x v="1"/>
    <x v="1"/>
    <x v="18"/>
  </r>
  <r>
    <x v="80"/>
    <x v="80"/>
    <x v="2"/>
    <x v="1"/>
    <x v="41"/>
    <x v="1"/>
    <x v="80"/>
    <n v="407.77"/>
    <n v="860.95"/>
    <n v="16767.66"/>
    <n v="0.1"/>
    <s v=" High Profit"/>
    <x v="1"/>
    <x v="2"/>
    <x v="1"/>
    <x v="5"/>
  </r>
  <r>
    <x v="81"/>
    <x v="81"/>
    <x v="1"/>
    <x v="2"/>
    <x v="27"/>
    <x v="1"/>
    <x v="81"/>
    <n v="2009.1"/>
    <n v="2186.42"/>
    <n v="531.96"/>
    <n v="0.25"/>
    <s v="Low Profit"/>
    <x v="1"/>
    <x v="1"/>
    <x v="0"/>
    <x v="15"/>
  </r>
  <r>
    <x v="82"/>
    <x v="82"/>
    <x v="2"/>
    <x v="2"/>
    <x v="11"/>
    <x v="1"/>
    <x v="82"/>
    <n v="1196.42"/>
    <n v="1444.97"/>
    <n v="10190.549999999999"/>
    <n v="0.21"/>
    <s v=" High Profit"/>
    <x v="0"/>
    <x v="1"/>
    <x v="0"/>
    <x v="16"/>
  </r>
  <r>
    <x v="83"/>
    <x v="83"/>
    <x v="3"/>
    <x v="3"/>
    <x v="40"/>
    <x v="2"/>
    <x v="83"/>
    <n v="3513"/>
    <n v="3838.42"/>
    <n v="2603.36"/>
    <n v="0.13"/>
    <s v="Low Profit"/>
    <x v="0"/>
    <x v="1"/>
    <x v="0"/>
    <x v="11"/>
  </r>
  <r>
    <x v="84"/>
    <x v="84"/>
    <x v="4"/>
    <x v="0"/>
    <x v="14"/>
    <x v="3"/>
    <x v="84"/>
    <n v="4236.05"/>
    <n v="4382.32"/>
    <n v="3217.94"/>
    <n v="0.2"/>
    <s v="Low Profit"/>
    <x v="1"/>
    <x v="1"/>
    <x v="0"/>
    <x v="17"/>
  </r>
  <r>
    <x v="85"/>
    <x v="85"/>
    <x v="4"/>
    <x v="2"/>
    <x v="28"/>
    <x v="0"/>
    <x v="85"/>
    <n v="3587.74"/>
    <n v="3745.91"/>
    <n v="6643.14"/>
    <n v="1"/>
    <s v=" High Profit"/>
    <x v="0"/>
    <x v="0"/>
    <x v="0"/>
    <x v="12"/>
  </r>
  <r>
    <x v="86"/>
    <x v="86"/>
    <x v="0"/>
    <x v="1"/>
    <x v="32"/>
    <x v="0"/>
    <x v="86"/>
    <n v="3784.96"/>
    <n v="4276.99"/>
    <n v="21649.32"/>
    <n v="0.06"/>
    <s v=" High Profit"/>
    <x v="1"/>
    <x v="1"/>
    <x v="1"/>
    <x v="1"/>
  </r>
  <r>
    <x v="87"/>
    <x v="87"/>
    <x v="2"/>
    <x v="2"/>
    <x v="42"/>
    <x v="2"/>
    <x v="87"/>
    <n v="4190.28"/>
    <n v="4270.6499999999996"/>
    <n v="3000"/>
    <n v="0.2"/>
    <s v="Low Profit"/>
    <x v="1"/>
    <x v="0"/>
    <x v="0"/>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8" firstHeaderRow="0"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1"/>
        <item x="0"/>
        <item x="2"/>
        <item x="3"/>
        <item t="default"/>
      </items>
    </pivotField>
    <pivotField showAll="0"/>
    <pivotField showAll="0">
      <items count="5">
        <item x="0"/>
        <item x="1"/>
        <item x="3"/>
        <item x="2"/>
        <item t="default"/>
      </items>
    </pivotField>
    <pivotField dataField="1" numFmtId="7" showAll="0"/>
    <pivotField showAll="0"/>
    <pivotField numFmtId="7" showAll="0"/>
    <pivotField dataField="1" numFmtId="7" showAll="0"/>
    <pivotField numFmtId="7" showAll="0"/>
    <pivotField showAll="0"/>
    <pivotField showAll="0">
      <items count="3">
        <item x="1"/>
        <item x="0"/>
        <item t="default"/>
      </items>
    </pivotField>
    <pivotField showAll="0">
      <items count="4">
        <item x="1"/>
        <item x="0"/>
        <item x="2"/>
        <item t="default"/>
      </items>
    </pivotField>
    <pivotField showAll="0">
      <items count="3">
        <item x="0"/>
        <item x="1"/>
        <item t="default"/>
      </items>
    </pivotField>
    <pivotField showAll="0"/>
    <pivotField showAll="0">
      <items count="15">
        <item x="0"/>
        <item x="1"/>
        <item x="2"/>
        <item x="3"/>
        <item x="4"/>
        <item x="5"/>
        <item x="6"/>
        <item x="7"/>
        <item x="8"/>
        <item x="9"/>
        <item x="10"/>
        <item x="11"/>
        <item x="12"/>
        <item x="13"/>
        <item t="default"/>
      </items>
    </pivotField>
  </pivotFields>
  <rowFields count="1">
    <field x="3"/>
  </rowFields>
  <rowItems count="5">
    <i>
      <x/>
    </i>
    <i>
      <x v="1"/>
    </i>
    <i>
      <x v="2"/>
    </i>
    <i>
      <x v="3"/>
    </i>
    <i t="grand">
      <x/>
    </i>
  </rowItems>
  <colFields count="1">
    <field x="-2"/>
  </colFields>
  <colItems count="2">
    <i>
      <x/>
    </i>
    <i i="1">
      <x v="1"/>
    </i>
  </colItems>
  <dataFields count="2">
    <dataField name="Sum of Sales_Amount" fld="6" baseField="0" baseItem="0"/>
    <dataField name="Sum of Profit" fld="9"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8" firstHeaderRow="0" firstDataRow="1" firstDataCol="1"/>
  <pivotFields count="17">
    <pivotField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1"/>
        <item x="0"/>
        <item x="2"/>
        <item x="3"/>
        <item t="default"/>
      </items>
    </pivotField>
    <pivotField dataField="1" showAll="0"/>
    <pivotField axis="axisRow" showAll="0">
      <items count="5">
        <item x="0"/>
        <item x="1"/>
        <item x="3"/>
        <item x="2"/>
        <item t="default"/>
      </items>
    </pivotField>
    <pivotField dataField="1" numFmtId="7" showAll="0"/>
    <pivotField showAll="0"/>
    <pivotField numFmtId="7" showAll="0"/>
    <pivotField numFmtId="7" showAll="0"/>
    <pivotField numFmtId="7" showAll="0"/>
    <pivotField showAll="0"/>
    <pivotField showAll="0">
      <items count="3">
        <item x="1"/>
        <item x="0"/>
        <item t="default"/>
      </items>
    </pivotField>
    <pivotField showAll="0">
      <items count="4">
        <item x="1"/>
        <item x="0"/>
        <item x="2"/>
        <item t="default"/>
      </items>
    </pivotField>
    <pivotField showAll="0"/>
    <pivotField showAll="0"/>
    <pivotField showAll="0">
      <items count="15">
        <item x="0"/>
        <item x="1"/>
        <item x="2"/>
        <item x="3"/>
        <item x="4"/>
        <item x="5"/>
        <item x="6"/>
        <item x="7"/>
        <item x="8"/>
        <item x="9"/>
        <item x="10"/>
        <item x="11"/>
        <item x="12"/>
        <item x="13"/>
        <item t="default"/>
      </items>
    </pivotField>
  </pivotFields>
  <rowFields count="1">
    <field x="5"/>
  </rowFields>
  <rowItems count="5">
    <i>
      <x/>
    </i>
    <i>
      <x v="1"/>
    </i>
    <i>
      <x v="2"/>
    </i>
    <i>
      <x v="3"/>
    </i>
    <i t="grand">
      <x/>
    </i>
  </rowItems>
  <colFields count="1">
    <field x="-2"/>
  </colFields>
  <colItems count="2">
    <i>
      <x/>
    </i>
    <i i="1">
      <x v="1"/>
    </i>
  </colItems>
  <dataFields count="2">
    <dataField name="Sum of Sales_Amount" fld="6" baseField="0" baseItem="0"/>
    <dataField name="Sum of Quantity_Sold" fld="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6" firstHeaderRow="1" firstDataRow="1" firstDataCol="1"/>
  <pivotFields count="17">
    <pivotField showAll="0"/>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5">
        <item x="1"/>
        <item x="0"/>
        <item x="2"/>
        <item x="3"/>
        <item t="default"/>
      </items>
    </pivotField>
    <pivotField showAll="0"/>
    <pivotField showAll="0">
      <items count="5">
        <item x="0"/>
        <item x="1"/>
        <item x="3"/>
        <item x="2"/>
        <item t="default"/>
      </items>
    </pivotField>
    <pivotField dataField="1" numFmtId="7" showAll="0"/>
    <pivotField showAll="0"/>
    <pivotField numFmtId="7" showAll="0"/>
    <pivotField numFmtId="7" showAll="0"/>
    <pivotField numFmtId="7" showAll="0"/>
    <pivotField showAll="0"/>
    <pivotField showAll="0">
      <items count="3">
        <item x="1"/>
        <item x="0"/>
        <item t="default"/>
      </items>
    </pivotField>
    <pivotField showAll="0">
      <items count="4">
        <item x="1"/>
        <item x="0"/>
        <item x="2"/>
        <item t="default"/>
      </items>
    </pivotField>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2">
    <field x="16"/>
    <field x="1"/>
  </rowFields>
  <rowItems count="13">
    <i>
      <x v="1"/>
    </i>
    <i>
      <x v="2"/>
    </i>
    <i>
      <x v="3"/>
    </i>
    <i>
      <x v="4"/>
    </i>
    <i>
      <x v="5"/>
    </i>
    <i>
      <x v="6"/>
    </i>
    <i>
      <x v="7"/>
    </i>
    <i>
      <x v="8"/>
    </i>
    <i>
      <x v="9"/>
    </i>
    <i>
      <x v="10"/>
    </i>
    <i>
      <x v="11"/>
    </i>
    <i>
      <x v="12"/>
    </i>
    <i t="grand">
      <x/>
    </i>
  </rowItems>
  <colItems count="1">
    <i/>
  </colItems>
  <dataFields count="1">
    <dataField name="Sum of Sales_Amount"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C7" firstHeaderRow="0" firstDataRow="1" firstDataCol="1"/>
  <pivotFields count="17">
    <pivotField dataField="1" showAll="0"/>
    <pivotField numFmtId="14" showAll="0"/>
    <pivotField showAll="0"/>
    <pivotField showAll="0">
      <items count="5">
        <item x="1"/>
        <item x="0"/>
        <item x="2"/>
        <item x="3"/>
        <item t="default"/>
      </items>
    </pivotField>
    <pivotField showAll="0"/>
    <pivotField showAll="0">
      <items count="5">
        <item x="0"/>
        <item x="1"/>
        <item x="3"/>
        <item x="2"/>
        <item t="default"/>
      </items>
    </pivotField>
    <pivotField dataField="1" numFmtId="7" showAll="0"/>
    <pivotField showAll="0"/>
    <pivotField numFmtId="7" showAll="0"/>
    <pivotField numFmtId="7" showAll="0"/>
    <pivotField numFmtId="7" showAll="0"/>
    <pivotField showAll="0"/>
    <pivotField showAll="0">
      <items count="3">
        <item x="1"/>
        <item x="0"/>
        <item t="default"/>
      </items>
    </pivotField>
    <pivotField axis="axisRow" showAll="0">
      <items count="4">
        <item x="1"/>
        <item x="0"/>
        <item x="2"/>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Fields count="1">
    <field x="-2"/>
  </colFields>
  <colItems count="2">
    <i>
      <x/>
    </i>
    <i i="1">
      <x v="1"/>
    </i>
  </colItems>
  <dataFields count="2">
    <dataField name="Sum of Product_ID" fld="0" baseField="0" baseItem="0"/>
    <dataField name="Sum of Sales_Amount" fld="6" baseField="0" baseItem="0"/>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pivotArea type="data" outline="0" fieldPosition="0">
        <references count="2">
          <reference field="4294967294" count="1" selected="0">
            <x v="0"/>
          </reference>
          <reference field="13" count="1" selected="0">
            <x v="0"/>
          </reference>
        </references>
      </pivotArea>
    </chartFormat>
    <chartFormat chart="1" format="4">
      <pivotArea type="data" outline="0" fieldPosition="0">
        <references count="2">
          <reference field="4294967294" count="1" selected="0">
            <x v="0"/>
          </reference>
          <reference field="13" count="1" selected="0">
            <x v="1"/>
          </reference>
        </references>
      </pivotArea>
    </chartFormat>
    <chartFormat chart="1" format="5">
      <pivotArea type="data" outline="0" fieldPosition="0">
        <references count="2">
          <reference field="4294967294" count="1" selected="0">
            <x v="0"/>
          </reference>
          <reference field="13" count="1" selected="0">
            <x v="2"/>
          </reference>
        </references>
      </pivotArea>
    </chartFormat>
    <chartFormat chart="1" format="6" series="1">
      <pivotArea type="data" outline="0" fieldPosition="0">
        <references count="1">
          <reference field="4294967294" count="1" selected="0">
            <x v="1"/>
          </reference>
        </references>
      </pivotArea>
    </chartFormat>
    <chartFormat chart="1" format="7">
      <pivotArea type="data" outline="0" fieldPosition="0">
        <references count="2">
          <reference field="4294967294" count="1" selected="0">
            <x v="1"/>
          </reference>
          <reference field="13" count="1" selected="0">
            <x v="0"/>
          </reference>
        </references>
      </pivotArea>
    </chartFormat>
    <chartFormat chart="1" format="8">
      <pivotArea type="data" outline="0" fieldPosition="0">
        <references count="2">
          <reference field="4294967294" count="1" selected="0">
            <x v="1"/>
          </reference>
          <reference field="13" count="1" selected="0">
            <x v="1"/>
          </reference>
        </references>
      </pivotArea>
    </chartFormat>
    <chartFormat chart="1" format="9">
      <pivotArea type="data" outline="0" fieldPosition="0">
        <references count="2">
          <reference field="4294967294" count="1" selected="0">
            <x v="1"/>
          </reference>
          <reference field="13" count="1" selected="0">
            <x v="2"/>
          </reference>
        </references>
      </pivotArea>
    </chartFormat>
    <chartFormat chart="2" format="10" series="1">
      <pivotArea type="data" outline="0" fieldPosition="0">
        <references count="1">
          <reference field="4294967294" count="1" selected="0">
            <x v="0"/>
          </reference>
        </references>
      </pivotArea>
    </chartFormat>
    <chartFormat chart="2" format="11">
      <pivotArea type="data" outline="0" fieldPosition="0">
        <references count="2">
          <reference field="4294967294" count="1" selected="0">
            <x v="0"/>
          </reference>
          <reference field="13" count="1" selected="0">
            <x v="0"/>
          </reference>
        </references>
      </pivotArea>
    </chartFormat>
    <chartFormat chart="2" format="12">
      <pivotArea type="data" outline="0" fieldPosition="0">
        <references count="2">
          <reference field="4294967294" count="1" selected="0">
            <x v="0"/>
          </reference>
          <reference field="13" count="1" selected="0">
            <x v="1"/>
          </reference>
        </references>
      </pivotArea>
    </chartFormat>
    <chartFormat chart="2" format="13">
      <pivotArea type="data" outline="0" fieldPosition="0">
        <references count="2">
          <reference field="4294967294" count="1" selected="0">
            <x v="0"/>
          </reference>
          <reference field="13" count="1" selected="0">
            <x v="2"/>
          </reference>
        </references>
      </pivotArea>
    </chartFormat>
    <chartFormat chart="2" format="14" series="1">
      <pivotArea type="data" outline="0" fieldPosition="0">
        <references count="1">
          <reference field="4294967294" count="1" selected="0">
            <x v="1"/>
          </reference>
        </references>
      </pivotArea>
    </chartFormat>
    <chartFormat chart="2" format="15">
      <pivotArea type="data" outline="0" fieldPosition="0">
        <references count="2">
          <reference field="4294967294" count="1" selected="0">
            <x v="1"/>
          </reference>
          <reference field="13" count="1" selected="0">
            <x v="0"/>
          </reference>
        </references>
      </pivotArea>
    </chartFormat>
    <chartFormat chart="2" format="16">
      <pivotArea type="data" outline="0" fieldPosition="0">
        <references count="2">
          <reference field="4294967294" count="1" selected="0">
            <x v="1"/>
          </reference>
          <reference field="13" count="1" selected="0">
            <x v="1"/>
          </reference>
        </references>
      </pivotArea>
    </chartFormat>
    <chartFormat chart="2" format="17">
      <pivotArea type="data" outline="0" fieldPosition="0">
        <references count="2">
          <reference field="4294967294" count="1" selected="0">
            <x v="1"/>
          </reference>
          <reference field="13" count="1" selected="0">
            <x v="2"/>
          </reference>
        </references>
      </pivotArea>
    </chartFormat>
    <chartFormat chart="0" format="2">
      <pivotArea type="data" outline="0" fieldPosition="0">
        <references count="2">
          <reference field="4294967294" count="1" selected="0">
            <x v="0"/>
          </reference>
          <reference field="13" count="1" selected="0">
            <x v="0"/>
          </reference>
        </references>
      </pivotArea>
    </chartFormat>
    <chartFormat chart="0" format="3">
      <pivotArea type="data" outline="0" fieldPosition="0">
        <references count="2">
          <reference field="4294967294" count="1" selected="0">
            <x v="0"/>
          </reference>
          <reference field="13" count="1" selected="0">
            <x v="1"/>
          </reference>
        </references>
      </pivotArea>
    </chartFormat>
    <chartFormat chart="0" format="4">
      <pivotArea type="data" outline="0" fieldPosition="0">
        <references count="2">
          <reference field="4294967294" count="1" selected="0">
            <x v="0"/>
          </reference>
          <reference field="13" count="1" selected="0">
            <x v="2"/>
          </reference>
        </references>
      </pivotArea>
    </chartFormat>
    <chartFormat chart="0" format="5">
      <pivotArea type="data" outline="0" fieldPosition="0">
        <references count="2">
          <reference field="4294967294" count="1" selected="0">
            <x v="1"/>
          </reference>
          <reference field="13" count="1" selected="0">
            <x v="0"/>
          </reference>
        </references>
      </pivotArea>
    </chartFormat>
    <chartFormat chart="0" format="6">
      <pivotArea type="data" outline="0" fieldPosition="0">
        <references count="2">
          <reference field="4294967294" count="1" selected="0">
            <x v="1"/>
          </reference>
          <reference field="13" count="1" selected="0">
            <x v="1"/>
          </reference>
        </references>
      </pivotArea>
    </chartFormat>
    <chartFormat chart="0" format="7">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F8" firstHeaderRow="1" firstDataRow="2" firstDataCol="1"/>
  <pivotFields count="17">
    <pivotField showAll="0"/>
    <pivotField numFmtId="14" showAll="0"/>
    <pivotField showAll="0"/>
    <pivotField axis="axisCol" showAll="0">
      <items count="5">
        <item x="1"/>
        <item x="0"/>
        <item x="2"/>
        <item x="3"/>
        <item t="default"/>
      </items>
    </pivotField>
    <pivotField showAll="0"/>
    <pivotField showAll="0">
      <items count="5">
        <item x="0"/>
        <item x="1"/>
        <item x="3"/>
        <item x="2"/>
        <item t="default"/>
      </items>
    </pivotField>
    <pivotField dataField="1" numFmtId="7" showAll="0">
      <items count="89">
        <item x="41"/>
        <item x="11"/>
        <item x="77"/>
        <item x="27"/>
        <item x="57"/>
        <item x="74"/>
        <item x="56"/>
        <item x="52"/>
        <item x="51"/>
        <item x="29"/>
        <item x="21"/>
        <item x="10"/>
        <item x="66"/>
        <item x="81"/>
        <item x="40"/>
        <item x="26"/>
        <item x="55"/>
        <item x="45"/>
        <item x="53"/>
        <item x="65"/>
        <item x="20"/>
        <item x="38"/>
        <item x="3"/>
        <item x="13"/>
        <item x="72"/>
        <item x="35"/>
        <item x="48"/>
        <item x="12"/>
        <item x="33"/>
        <item x="7"/>
        <item x="86"/>
        <item x="49"/>
        <item x="64"/>
        <item x="85"/>
        <item x="32"/>
        <item x="22"/>
        <item x="14"/>
        <item x="36"/>
        <item x="75"/>
        <item x="83"/>
        <item x="5"/>
        <item x="46"/>
        <item x="25"/>
        <item x="28"/>
        <item x="69"/>
        <item x="43"/>
        <item x="62"/>
        <item x="18"/>
        <item x="87"/>
        <item x="31"/>
        <item x="68"/>
        <item x="9"/>
        <item x="16"/>
        <item x="8"/>
        <item x="0"/>
        <item x="71"/>
        <item x="4"/>
        <item x="82"/>
        <item x="47"/>
        <item x="67"/>
        <item x="39"/>
        <item x="73"/>
        <item x="17"/>
        <item x="50"/>
        <item x="37"/>
        <item x="24"/>
        <item x="61"/>
        <item x="1"/>
        <item x="23"/>
        <item x="84"/>
        <item x="59"/>
        <item x="30"/>
        <item x="70"/>
        <item x="2"/>
        <item x="15"/>
        <item x="44"/>
        <item x="42"/>
        <item x="63"/>
        <item x="19"/>
        <item x="76"/>
        <item x="54"/>
        <item x="60"/>
        <item x="79"/>
        <item x="80"/>
        <item x="58"/>
        <item x="34"/>
        <item x="78"/>
        <item x="6"/>
        <item t="default"/>
      </items>
    </pivotField>
    <pivotField showAll="0"/>
    <pivotField numFmtId="7" showAll="0"/>
    <pivotField numFmtId="7" showAll="0"/>
    <pivotField numFmtId="7" showAll="0"/>
    <pivotField showAll="0"/>
    <pivotField showAll="0">
      <items count="3">
        <item x="1"/>
        <item x="0"/>
        <item t="default"/>
      </items>
    </pivotField>
    <pivotField axis="axisRow" showAll="0">
      <items count="4">
        <item x="1"/>
        <item x="0"/>
        <item x="2"/>
        <item t="default"/>
      </items>
    </pivotField>
    <pivotField showAll="0">
      <items count="3">
        <item x="0"/>
        <item x="1"/>
        <item t="default"/>
      </items>
    </pivotField>
    <pivotField showAll="0">
      <items count="21">
        <item x="5"/>
        <item x="18"/>
        <item x="14"/>
        <item x="9"/>
        <item x="1"/>
        <item x="6"/>
        <item x="4"/>
        <item x="19"/>
        <item x="17"/>
        <item x="0"/>
        <item x="16"/>
        <item x="15"/>
        <item x="8"/>
        <item x="12"/>
        <item x="2"/>
        <item x="7"/>
        <item x="3"/>
        <item x="11"/>
        <item x="10"/>
        <item x="13"/>
        <item t="default"/>
      </items>
    </pivotField>
    <pivotField showAll="0" defaultSubtotal="0">
      <items count="14">
        <item x="0"/>
        <item x="1"/>
        <item x="2"/>
        <item x="3"/>
        <item x="4"/>
        <item x="5"/>
        <item x="6"/>
        <item x="7"/>
        <item x="8"/>
        <item x="9"/>
        <item x="10"/>
        <item x="11"/>
        <item x="12"/>
        <item x="13"/>
      </items>
    </pivotField>
  </pivotFields>
  <rowFields count="1">
    <field x="13"/>
  </rowFields>
  <rowItems count="4">
    <i>
      <x/>
    </i>
    <i>
      <x v="1"/>
    </i>
    <i>
      <x v="2"/>
    </i>
    <i t="grand">
      <x/>
    </i>
  </rowItems>
  <colFields count="1">
    <field x="3"/>
  </colFields>
  <colItems count="5">
    <i>
      <x/>
    </i>
    <i>
      <x v="1"/>
    </i>
    <i>
      <x v="2"/>
    </i>
    <i>
      <x v="3"/>
    </i>
    <i t="grand">
      <x/>
    </i>
  </colItems>
  <dataFields count="1">
    <dataField name="Sum of Sales_Amount" fld="6"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3" format="8" series="1">
      <pivotArea type="data" outline="0" fieldPosition="0">
        <references count="2">
          <reference field="4294967294" count="1" selected="0">
            <x v="0"/>
          </reference>
          <reference field="3" count="1" selected="0">
            <x v="0"/>
          </reference>
        </references>
      </pivotArea>
    </chartFormat>
    <chartFormat chart="3" format="9" series="1">
      <pivotArea type="data" outline="0" fieldPosition="0">
        <references count="2">
          <reference field="4294967294" count="1" selected="0">
            <x v="0"/>
          </reference>
          <reference field="3" count="1" selected="0">
            <x v="1"/>
          </reference>
        </references>
      </pivotArea>
    </chartFormat>
    <chartFormat chart="3" format="10" series="1">
      <pivotArea type="data" outline="0" fieldPosition="0">
        <references count="2">
          <reference field="4294967294" count="1" selected="0">
            <x v="0"/>
          </reference>
          <reference field="3" count="1" selected="0">
            <x v="2"/>
          </reference>
        </references>
      </pivotArea>
    </chartFormat>
    <chartFormat chart="3"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F7" firstHeaderRow="1" firstDataRow="2" firstDataCol="1"/>
  <pivotFields count="17">
    <pivotField showAll="0"/>
    <pivotField numFmtId="14" showAll="0"/>
    <pivotField showAll="0"/>
    <pivotField axis="axisCol" showAll="0">
      <items count="5">
        <item x="1"/>
        <item x="0"/>
        <item x="2"/>
        <item x="3"/>
        <item t="default"/>
      </items>
    </pivotField>
    <pivotField showAll="0"/>
    <pivotField showAll="0">
      <items count="5">
        <item x="0"/>
        <item x="1"/>
        <item x="3"/>
        <item x="2"/>
        <item t="default"/>
      </items>
    </pivotField>
    <pivotField dataField="1" numFmtId="7" showAll="0"/>
    <pivotField showAll="0"/>
    <pivotField numFmtId="7" showAll="0"/>
    <pivotField numFmtId="7" showAll="0"/>
    <pivotField numFmtId="7" showAll="0"/>
    <pivotField showAll="0"/>
    <pivotField axis="axisRow" showAll="0">
      <items count="3">
        <item x="1"/>
        <item x="0"/>
        <item t="default"/>
      </items>
    </pivotField>
    <pivotField showAll="0">
      <items count="4">
        <item x="1"/>
        <item x="0"/>
        <item x="2"/>
        <item t="default"/>
      </items>
    </pivotField>
    <pivotField showAll="0"/>
    <pivotField showAll="0"/>
    <pivotField showAll="0" defaultSubtotal="0">
      <items count="14">
        <item x="0"/>
        <item x="1"/>
        <item x="2"/>
        <item x="3"/>
        <item x="4"/>
        <item x="5"/>
        <item x="6"/>
        <item x="7"/>
        <item x="8"/>
        <item x="9"/>
        <item x="10"/>
        <item x="11"/>
        <item x="12"/>
        <item x="13"/>
      </items>
    </pivotField>
  </pivotFields>
  <rowFields count="1">
    <field x="12"/>
  </rowFields>
  <rowItems count="3">
    <i>
      <x/>
    </i>
    <i>
      <x v="1"/>
    </i>
    <i t="grand">
      <x/>
    </i>
  </rowItems>
  <colFields count="1">
    <field x="3"/>
  </colFields>
  <colItems count="5">
    <i>
      <x/>
    </i>
    <i>
      <x v="1"/>
    </i>
    <i>
      <x v="2"/>
    </i>
    <i>
      <x v="3"/>
    </i>
    <i t="grand">
      <x/>
    </i>
  </colItems>
  <dataFields count="1">
    <dataField name="Sum of Sales_Amount" fld="6" baseField="0" baseItem="0"/>
  </dataFields>
  <chartFormats count="8">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2" format="8" series="1">
      <pivotArea type="data" outline="0" fieldPosition="0">
        <references count="2">
          <reference field="4294967294" count="1" selected="0">
            <x v="0"/>
          </reference>
          <reference field="3" count="1" selected="0">
            <x v="0"/>
          </reference>
        </references>
      </pivotArea>
    </chartFormat>
    <chartFormat chart="2" format="9" series="1">
      <pivotArea type="data" outline="0" fieldPosition="0">
        <references count="2">
          <reference field="4294967294" count="1" selected="0">
            <x v="0"/>
          </reference>
          <reference field="3" count="1" selected="0">
            <x v="1"/>
          </reference>
        </references>
      </pivotArea>
    </chartFormat>
    <chartFormat chart="2" format="10" series="1">
      <pivotArea type="data" outline="0" fieldPosition="0">
        <references count="2">
          <reference field="4294967294" count="1" selected="0">
            <x v="0"/>
          </reference>
          <reference field="3" count="1" selected="0">
            <x v="2"/>
          </reference>
        </references>
      </pivotArea>
    </chartFormat>
    <chartFormat chart="2" format="11"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4" name="PivotTable1"/>
    <pivotTable tabId="7" name="PivotTable2"/>
    <pivotTable tabId="8" name="PivotTable3"/>
    <pivotTable tabId="9" name="PivotTable4"/>
    <pivotTable tabId="10" name="PivotTable5"/>
    <pivotTable tabId="11" name="PivotTable6"/>
  </pivotTables>
  <data>
    <tabular pivotCacheId="1421693589">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0000000-0013-0000-FFFF-FFFF02000000}" sourceName="Product_Category">
  <pivotTables>
    <pivotTable tabId="4" name="PivotTable1"/>
    <pivotTable tabId="7" name="PivotTable2"/>
    <pivotTable tabId="8" name="PivotTable3"/>
    <pivotTable tabId="9" name="PivotTable4"/>
    <pivotTable tabId="10" name="PivotTable5"/>
    <pivotTable tabId="11" name="PivotTable6"/>
  </pivotTables>
  <data>
    <tabular pivotCacheId="1421693589">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00000000-0013-0000-FFFF-FFFF03000000}" sourceName="Customer_Type">
  <pivotTables>
    <pivotTable tabId="4" name="PivotTable1"/>
    <pivotTable tabId="7" name="PivotTable2"/>
    <pivotTable tabId="8" name="PivotTable3"/>
    <pivotTable tabId="9" name="PivotTable4"/>
    <pivotTable tabId="10" name="PivotTable5"/>
    <pivotTable tabId="11" name="PivotTable6"/>
  </pivotTables>
  <data>
    <tabular pivotCacheId="142169358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00000000-0013-0000-FFFF-FFFF04000000}" sourceName="Payment_Method">
  <pivotTables>
    <pivotTable tabId="4" name="PivotTable1"/>
    <pivotTable tabId="7" name="PivotTable2"/>
    <pivotTable tabId="8" name="PivotTable3"/>
    <pivotTable tabId="9" name="PivotTable4"/>
    <pivotTable tabId="10" name="PivotTable5"/>
    <pivotTable tabId="11" name="PivotTable6"/>
  </pivotTables>
  <data>
    <tabular pivotCacheId="1421693589">
      <items count="3">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0000000-0013-0000-FFFF-FFFF05000000}" sourceName="Months">
  <pivotTables>
    <pivotTable tabId="4" name="PivotTable1"/>
    <pivotTable tabId="7" name="PivotTable2"/>
    <pivotTable tabId="8" name="PivotTable3"/>
    <pivotTable tabId="9" name="PivotTable4"/>
    <pivotTable tabId="10" name="PivotTable5"/>
    <pivotTable tabId="11" name="PivotTable6"/>
  </pivotTables>
  <data>
    <tabular pivotCacheId="142169358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34950"/>
  <slicer name="Product_Category" xr10:uid="{00000000-0014-0000-FFFF-FFFF02000000}" cache="Slicer_Product_Category" caption="Product_Category" rowHeight="234950"/>
  <slicer name="Customer_Type" xr10:uid="{00000000-0014-0000-FFFF-FFFF03000000}" cache="Slicer_Customer_Type" caption="Customer_Type" rowHeight="234950"/>
  <slicer name="Payment_Method" xr10:uid="{00000000-0014-0000-FFFF-FFFF04000000}" cache="Slicer_Payment_Method" caption="Payment_Method" rowHeight="234950"/>
  <slicer name="Months" xr10:uid="{00000000-0014-0000-FFFF-FFFF05000000}" cache="Slicer_Months" caption="Month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1:P89" totalsRowShown="0" headerRowDxfId="14">
  <autoFilter ref="A1:P89" xr:uid="{00000000-0009-0000-0100-000002000000}"/>
  <tableColumns count="16">
    <tableColumn id="1" xr3:uid="{00000000-0010-0000-0000-000001000000}" name="Product_ID"/>
    <tableColumn id="2" xr3:uid="{00000000-0010-0000-0000-000002000000}" name="Sale_Date" dataDxfId="13"/>
    <tableColumn id="3" xr3:uid="{00000000-0010-0000-0000-000003000000}" name="Sales_Rep"/>
    <tableColumn id="4" xr3:uid="{00000000-0010-0000-0000-000004000000}" name="Region"/>
    <tableColumn id="5" xr3:uid="{00000000-0010-0000-0000-000005000000}" name="Quantity_Sold"/>
    <tableColumn id="6" xr3:uid="{00000000-0010-0000-0000-000006000000}" name="Product_Category"/>
    <tableColumn id="7" xr3:uid="{00000000-0010-0000-0000-000007000000}" name="Sales_Amount" dataDxfId="12"/>
    <tableColumn id="8" xr3:uid="{00000000-0010-0000-0000-000008000000}" name="Unit_Cost" dataDxfId="11"/>
    <tableColumn id="9" xr3:uid="{00000000-0010-0000-0000-000009000000}" name="Unit_Price" dataDxfId="10"/>
    <tableColumn id="10" xr3:uid="{00000000-0010-0000-0000-00000A000000}" name="Profit" dataDxfId="9"/>
    <tableColumn id="11" xr3:uid="{00000000-0010-0000-0000-00000B000000}" name="Discount" dataDxfId="8"/>
    <tableColumn id="12" xr3:uid="{00000000-0010-0000-0000-00000C000000}" name="Profit Status"/>
    <tableColumn id="13" xr3:uid="{00000000-0010-0000-0000-00000D000000}" name="Customer_Type"/>
    <tableColumn id="14" xr3:uid="{00000000-0010-0000-0000-00000E000000}" name="Payment_Method"/>
    <tableColumn id="15" xr3:uid="{00000000-0010-0000-0000-00000F000000}" name="Sales_Channel"/>
    <tableColumn id="16" xr3:uid="{00000000-0010-0000-0000-000010000000}" name="Region_and_Sales_Rep"/>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A1:Q89" totalsRowShown="0" headerRowDxfId="7">
  <autoFilter ref="A1:Q89" xr:uid="{00000000-0009-0000-0100-000003000000}"/>
  <tableColumns count="17">
    <tableColumn id="1" xr3:uid="{00000000-0010-0000-0100-000001000000}" name="Product_ID"/>
    <tableColumn id="2" xr3:uid="{00000000-0010-0000-0100-000002000000}" name="Sale_Date" dataDxfId="6"/>
    <tableColumn id="3" xr3:uid="{00000000-0010-0000-0100-000003000000}" name="Sales_Rep"/>
    <tableColumn id="4" xr3:uid="{00000000-0010-0000-0100-000004000000}" name="Region"/>
    <tableColumn id="5" xr3:uid="{00000000-0010-0000-0100-000005000000}" name="Quantity_Sold"/>
    <tableColumn id="6" xr3:uid="{00000000-0010-0000-0100-000006000000}" name="Product_Category"/>
    <tableColumn id="7" xr3:uid="{00000000-0010-0000-0100-000007000000}" name="Sales_Amount" dataDxfId="5"/>
    <tableColumn id="8" xr3:uid="{00000000-0010-0000-0100-000008000000}" name="Unit_Cost" dataDxfId="4"/>
    <tableColumn id="9" xr3:uid="{00000000-0010-0000-0100-000009000000}" name="Unit_Price" dataDxfId="3"/>
    <tableColumn id="10" xr3:uid="{00000000-0010-0000-0100-00000A000000}" name="Profit" dataDxfId="2"/>
    <tableColumn id="11" xr3:uid="{00000000-0010-0000-0100-00000B000000}" name="Discount" dataDxfId="1"/>
    <tableColumn id="12" xr3:uid="{00000000-0010-0000-0100-00000C000000}" name="Sum of Sales" dataDxfId="0">
      <calculatedColumnFormula>E2*I2</calculatedColumnFormula>
    </tableColumn>
    <tableColumn id="13" xr3:uid="{00000000-0010-0000-0100-00000D000000}" name="Profit Status"/>
    <tableColumn id="14" xr3:uid="{00000000-0010-0000-0100-00000E000000}" name="Customer_Type"/>
    <tableColumn id="15" xr3:uid="{00000000-0010-0000-0100-00000F000000}" name="Payment_Method"/>
    <tableColumn id="16" xr3:uid="{00000000-0010-0000-0100-000010000000}" name="Sales_Channel"/>
    <tableColumn id="17" xr3:uid="{00000000-0010-0000-0100-000011000000}" name="Region_and_Sales_Rep"/>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6.bin"/><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7.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8.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9.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P89"/>
  <sheetViews>
    <sheetView tabSelected="1" topLeftCell="D31" workbookViewId="0">
      <selection activeCell="J44" sqref="J44"/>
    </sheetView>
  </sheetViews>
  <sheetFormatPr defaultRowHeight="14.4" x14ac:dyDescent="0.3"/>
  <cols>
    <col min="7" max="11" width="16.44140625"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v>1008</v>
      </c>
      <c r="B2" s="1">
        <v>44927</v>
      </c>
      <c r="C2" t="s">
        <v>16</v>
      </c>
      <c r="D2" t="s">
        <v>17</v>
      </c>
      <c r="E2">
        <v>38</v>
      </c>
      <c r="F2" t="s">
        <v>18</v>
      </c>
      <c r="G2" s="27">
        <v>5227.8100000000004</v>
      </c>
      <c r="H2" s="27">
        <v>4635.2299999999996</v>
      </c>
      <c r="I2" s="27">
        <v>5075.4399999999996</v>
      </c>
      <c r="J2" s="27">
        <v>16727.98</v>
      </c>
      <c r="K2" s="27">
        <v>0.05</v>
      </c>
      <c r="L2" t="s">
        <v>19</v>
      </c>
      <c r="M2" t="s">
        <v>20</v>
      </c>
      <c r="N2" t="s">
        <v>21</v>
      </c>
      <c r="O2" t="s">
        <v>22</v>
      </c>
      <c r="P2" t="s">
        <v>23</v>
      </c>
    </row>
    <row r="3" spans="1:16" x14ac:dyDescent="0.3">
      <c r="A3">
        <v>1064</v>
      </c>
      <c r="B3" s="1">
        <v>44930</v>
      </c>
      <c r="C3" t="s">
        <v>16</v>
      </c>
      <c r="D3" t="s">
        <v>24</v>
      </c>
      <c r="E3">
        <v>10</v>
      </c>
      <c r="F3" t="s">
        <v>25</v>
      </c>
      <c r="G3" s="27">
        <v>7412.11</v>
      </c>
      <c r="H3" s="27">
        <v>4764.96</v>
      </c>
      <c r="I3" s="27">
        <v>5074.42</v>
      </c>
      <c r="J3" s="27">
        <v>3094.6</v>
      </c>
      <c r="K3" s="27">
        <v>0.12</v>
      </c>
      <c r="L3" t="s">
        <v>26</v>
      </c>
      <c r="M3" t="s">
        <v>27</v>
      </c>
      <c r="N3" t="s">
        <v>21</v>
      </c>
      <c r="O3" t="s">
        <v>22</v>
      </c>
      <c r="P3" t="s">
        <v>28</v>
      </c>
    </row>
    <row r="4" spans="1:16" x14ac:dyDescent="0.3">
      <c r="A4">
        <v>1087</v>
      </c>
      <c r="B4" s="1">
        <v>44932</v>
      </c>
      <c r="C4" t="s">
        <v>16</v>
      </c>
      <c r="D4" t="s">
        <v>29</v>
      </c>
      <c r="E4">
        <v>46</v>
      </c>
      <c r="F4" t="s">
        <v>30</v>
      </c>
      <c r="G4" s="27">
        <v>7698.92</v>
      </c>
      <c r="H4" s="27">
        <v>3702.51</v>
      </c>
      <c r="I4" s="27">
        <v>3964.65</v>
      </c>
      <c r="J4" s="27">
        <v>12058.44</v>
      </c>
      <c r="K4" s="27">
        <v>0.12</v>
      </c>
      <c r="L4" t="s">
        <v>19</v>
      </c>
      <c r="M4" t="s">
        <v>27</v>
      </c>
      <c r="N4" t="s">
        <v>31</v>
      </c>
      <c r="O4" t="s">
        <v>22</v>
      </c>
      <c r="P4" t="s">
        <v>32</v>
      </c>
    </row>
    <row r="5" spans="1:16" x14ac:dyDescent="0.3">
      <c r="A5">
        <v>1094</v>
      </c>
      <c r="B5" s="1">
        <v>44936</v>
      </c>
      <c r="C5" t="s">
        <v>16</v>
      </c>
      <c r="D5" t="s">
        <v>17</v>
      </c>
      <c r="E5">
        <v>25</v>
      </c>
      <c r="F5" t="s">
        <v>25</v>
      </c>
      <c r="G5" s="27">
        <v>2548.67</v>
      </c>
      <c r="H5" s="27">
        <v>1933.39</v>
      </c>
      <c r="I5" s="27">
        <v>1982.92</v>
      </c>
      <c r="J5" s="27">
        <v>1238.25</v>
      </c>
      <c r="K5" s="27">
        <v>0.17</v>
      </c>
      <c r="L5" t="s">
        <v>26</v>
      </c>
      <c r="M5" t="s">
        <v>27</v>
      </c>
      <c r="N5" t="s">
        <v>31</v>
      </c>
      <c r="O5" t="s">
        <v>22</v>
      </c>
      <c r="P5" t="s">
        <v>23</v>
      </c>
    </row>
    <row r="6" spans="1:16" x14ac:dyDescent="0.3">
      <c r="A6">
        <v>1027</v>
      </c>
      <c r="B6" s="1">
        <v>44941</v>
      </c>
      <c r="C6" t="s">
        <v>33</v>
      </c>
      <c r="D6" t="s">
        <v>34</v>
      </c>
      <c r="E6">
        <v>26</v>
      </c>
      <c r="F6" t="s">
        <v>35</v>
      </c>
      <c r="G6" s="27">
        <v>6261.2</v>
      </c>
      <c r="H6" s="27">
        <v>149.11000000000001</v>
      </c>
      <c r="I6" s="27">
        <v>477.67</v>
      </c>
      <c r="J6" s="27">
        <v>8542.56</v>
      </c>
      <c r="K6" s="27">
        <v>0.14000000000000001</v>
      </c>
      <c r="L6" t="s">
        <v>19</v>
      </c>
      <c r="M6" t="s">
        <v>20</v>
      </c>
      <c r="N6" t="s">
        <v>21</v>
      </c>
      <c r="O6" t="s">
        <v>36</v>
      </c>
      <c r="P6" t="s">
        <v>37</v>
      </c>
    </row>
    <row r="7" spans="1:16" x14ac:dyDescent="0.3">
      <c r="A7">
        <v>1046</v>
      </c>
      <c r="B7" s="1">
        <v>44946</v>
      </c>
      <c r="C7" t="s">
        <v>16</v>
      </c>
      <c r="D7" t="s">
        <v>24</v>
      </c>
      <c r="E7">
        <v>43</v>
      </c>
      <c r="F7" t="s">
        <v>18</v>
      </c>
      <c r="G7" s="27">
        <v>4104.82</v>
      </c>
      <c r="H7" s="27">
        <v>4052.42</v>
      </c>
      <c r="I7" s="27">
        <v>4199.3</v>
      </c>
      <c r="J7" s="27">
        <v>6315.84</v>
      </c>
      <c r="K7" s="27">
        <v>0.1</v>
      </c>
      <c r="L7" t="s">
        <v>19</v>
      </c>
      <c r="M7" t="s">
        <v>27</v>
      </c>
      <c r="N7" t="s">
        <v>31</v>
      </c>
      <c r="O7" t="s">
        <v>36</v>
      </c>
      <c r="P7" t="s">
        <v>28</v>
      </c>
    </row>
    <row r="8" spans="1:16" x14ac:dyDescent="0.3">
      <c r="A8">
        <v>1037</v>
      </c>
      <c r="B8" s="1">
        <v>44949</v>
      </c>
      <c r="C8" t="s">
        <v>33</v>
      </c>
      <c r="D8" t="s">
        <v>17</v>
      </c>
      <c r="E8">
        <v>40</v>
      </c>
      <c r="F8" t="s">
        <v>18</v>
      </c>
      <c r="G8" s="27">
        <v>9813.81</v>
      </c>
      <c r="H8" s="27">
        <v>2790.11</v>
      </c>
      <c r="I8" s="27">
        <v>3192.37</v>
      </c>
      <c r="J8" s="27">
        <v>16090.4</v>
      </c>
      <c r="K8" s="27">
        <v>0.26</v>
      </c>
      <c r="L8" t="s">
        <v>19</v>
      </c>
      <c r="M8" t="s">
        <v>20</v>
      </c>
      <c r="N8" t="s">
        <v>31</v>
      </c>
      <c r="O8" t="s">
        <v>22</v>
      </c>
      <c r="P8" t="s">
        <v>38</v>
      </c>
    </row>
    <row r="9" spans="1:16" x14ac:dyDescent="0.3">
      <c r="A9">
        <v>1018</v>
      </c>
      <c r="B9" s="1">
        <v>44952</v>
      </c>
      <c r="C9" t="s">
        <v>39</v>
      </c>
      <c r="D9" t="s">
        <v>24</v>
      </c>
      <c r="E9">
        <v>11</v>
      </c>
      <c r="F9" t="s">
        <v>18</v>
      </c>
      <c r="G9" s="27">
        <v>3187.45</v>
      </c>
      <c r="H9" s="27">
        <v>2414.8200000000002</v>
      </c>
      <c r="I9" s="27">
        <v>2519.0700000000002</v>
      </c>
      <c r="J9" s="27">
        <v>1146.75</v>
      </c>
      <c r="K9" s="27">
        <v>0</v>
      </c>
      <c r="L9" t="s">
        <v>26</v>
      </c>
      <c r="M9" t="s">
        <v>20</v>
      </c>
      <c r="N9" t="s">
        <v>21</v>
      </c>
      <c r="O9" t="s">
        <v>22</v>
      </c>
      <c r="P9" t="s">
        <v>40</v>
      </c>
    </row>
    <row r="10" spans="1:16" x14ac:dyDescent="0.3">
      <c r="A10">
        <v>1042</v>
      </c>
      <c r="B10" s="1">
        <v>44957</v>
      </c>
      <c r="C10" t="s">
        <v>39</v>
      </c>
      <c r="D10" t="s">
        <v>17</v>
      </c>
      <c r="E10">
        <v>11</v>
      </c>
      <c r="F10" t="s">
        <v>35</v>
      </c>
      <c r="G10" s="27">
        <v>5207.03</v>
      </c>
      <c r="H10" s="27">
        <v>635.20000000000005</v>
      </c>
      <c r="I10" s="27">
        <v>814.14</v>
      </c>
      <c r="J10" s="27">
        <v>1968.34</v>
      </c>
      <c r="K10" s="27">
        <v>0.02</v>
      </c>
      <c r="L10" t="s">
        <v>26</v>
      </c>
      <c r="M10" t="s">
        <v>20</v>
      </c>
      <c r="N10" t="s">
        <v>21</v>
      </c>
      <c r="O10" t="s">
        <v>22</v>
      </c>
      <c r="P10" t="s">
        <v>41</v>
      </c>
    </row>
    <row r="11" spans="1:16" x14ac:dyDescent="0.3">
      <c r="A11">
        <v>1052</v>
      </c>
      <c r="B11" s="1">
        <v>44960</v>
      </c>
      <c r="C11" t="s">
        <v>33</v>
      </c>
      <c r="D11" t="s">
        <v>17</v>
      </c>
      <c r="E11">
        <v>18</v>
      </c>
      <c r="F11" t="s">
        <v>30</v>
      </c>
      <c r="G11" s="27">
        <v>5053.97</v>
      </c>
      <c r="H11" s="27">
        <v>152.75</v>
      </c>
      <c r="I11" s="27">
        <v>267.22000000000003</v>
      </c>
      <c r="J11" s="27">
        <v>2060.46</v>
      </c>
      <c r="K11" s="27">
        <v>0.09</v>
      </c>
      <c r="L11" t="s">
        <v>26</v>
      </c>
      <c r="M11" t="s">
        <v>20</v>
      </c>
      <c r="N11" t="s">
        <v>21</v>
      </c>
      <c r="O11" t="s">
        <v>22</v>
      </c>
      <c r="P11" t="s">
        <v>38</v>
      </c>
    </row>
    <row r="12" spans="1:16" x14ac:dyDescent="0.3">
      <c r="A12">
        <v>1026</v>
      </c>
      <c r="B12" s="1">
        <v>44961</v>
      </c>
      <c r="C12" t="s">
        <v>39</v>
      </c>
      <c r="D12" t="s">
        <v>34</v>
      </c>
      <c r="E12">
        <v>19</v>
      </c>
      <c r="F12" t="s">
        <v>25</v>
      </c>
      <c r="G12" s="27">
        <v>1554.93</v>
      </c>
      <c r="H12" s="27">
        <v>1265.48</v>
      </c>
      <c r="I12" s="27">
        <v>1715.83</v>
      </c>
      <c r="J12" s="27">
        <v>8556.65</v>
      </c>
      <c r="K12" s="27">
        <v>0.05</v>
      </c>
      <c r="L12" t="s">
        <v>19</v>
      </c>
      <c r="M12" t="s">
        <v>27</v>
      </c>
      <c r="N12" t="s">
        <v>42</v>
      </c>
      <c r="O12" t="s">
        <v>36</v>
      </c>
      <c r="P12" t="s">
        <v>43</v>
      </c>
    </row>
    <row r="13" spans="1:16" x14ac:dyDescent="0.3">
      <c r="A13">
        <v>1080</v>
      </c>
      <c r="B13" s="1">
        <v>44962</v>
      </c>
      <c r="C13" t="s">
        <v>44</v>
      </c>
      <c r="D13" t="s">
        <v>29</v>
      </c>
      <c r="E13">
        <v>9</v>
      </c>
      <c r="F13" t="s">
        <v>25</v>
      </c>
      <c r="G13" s="27">
        <v>245.46</v>
      </c>
      <c r="H13" s="27">
        <v>1141.52</v>
      </c>
      <c r="I13" s="27">
        <v>1550.19</v>
      </c>
      <c r="J13" s="27">
        <v>3678.03</v>
      </c>
      <c r="K13" s="27">
        <v>0.28000000000000003</v>
      </c>
      <c r="L13" t="s">
        <v>26</v>
      </c>
      <c r="M13" t="s">
        <v>27</v>
      </c>
      <c r="N13" t="s">
        <v>42</v>
      </c>
      <c r="O13" t="s">
        <v>36</v>
      </c>
      <c r="P13" t="s">
        <v>45</v>
      </c>
    </row>
    <row r="14" spans="1:16" x14ac:dyDescent="0.3">
      <c r="A14">
        <v>1081</v>
      </c>
      <c r="B14" s="1">
        <v>44964</v>
      </c>
      <c r="C14" t="s">
        <v>46</v>
      </c>
      <c r="D14" t="s">
        <v>24</v>
      </c>
      <c r="E14">
        <v>41</v>
      </c>
      <c r="F14" t="s">
        <v>30</v>
      </c>
      <c r="G14" s="27">
        <v>3068.03</v>
      </c>
      <c r="H14" s="27">
        <v>2782.08</v>
      </c>
      <c r="I14" s="27">
        <v>2879.24</v>
      </c>
      <c r="J14" s="27">
        <v>3983.56</v>
      </c>
      <c r="K14" s="27">
        <v>0.21</v>
      </c>
      <c r="L14" t="s">
        <v>26</v>
      </c>
      <c r="M14" t="s">
        <v>27</v>
      </c>
      <c r="N14" t="s">
        <v>31</v>
      </c>
      <c r="O14" t="s">
        <v>22</v>
      </c>
      <c r="P14" t="s">
        <v>47</v>
      </c>
    </row>
    <row r="15" spans="1:16" x14ac:dyDescent="0.3">
      <c r="A15">
        <v>1092</v>
      </c>
      <c r="B15" s="1">
        <v>44966</v>
      </c>
      <c r="C15" t="s">
        <v>46</v>
      </c>
      <c r="D15" t="s">
        <v>34</v>
      </c>
      <c r="E15">
        <v>34</v>
      </c>
      <c r="F15" t="s">
        <v>30</v>
      </c>
      <c r="G15" s="27">
        <v>2749.17</v>
      </c>
      <c r="H15" s="27">
        <v>2037.41</v>
      </c>
      <c r="I15" s="27">
        <v>2238.65</v>
      </c>
      <c r="J15" s="27">
        <v>6842.16</v>
      </c>
      <c r="K15" s="27">
        <v>0.3</v>
      </c>
      <c r="L15" t="s">
        <v>19</v>
      </c>
      <c r="M15" t="s">
        <v>27</v>
      </c>
      <c r="N15" t="s">
        <v>42</v>
      </c>
      <c r="O15" t="s">
        <v>22</v>
      </c>
      <c r="P15" t="s">
        <v>48</v>
      </c>
    </row>
    <row r="16" spans="1:16" x14ac:dyDescent="0.3">
      <c r="A16">
        <v>1021</v>
      </c>
      <c r="B16" s="1">
        <v>44968</v>
      </c>
      <c r="C16" t="s">
        <v>44</v>
      </c>
      <c r="D16" t="s">
        <v>34</v>
      </c>
      <c r="E16">
        <v>32</v>
      </c>
      <c r="F16" t="s">
        <v>35</v>
      </c>
      <c r="G16" s="27">
        <v>3761.15</v>
      </c>
      <c r="H16" s="27">
        <v>900.79</v>
      </c>
      <c r="I16" s="27">
        <v>1106.51</v>
      </c>
      <c r="J16" s="27">
        <v>6583.04</v>
      </c>
      <c r="K16" s="27">
        <v>0.21</v>
      </c>
      <c r="L16" t="s">
        <v>19</v>
      </c>
      <c r="M16" t="s">
        <v>27</v>
      </c>
      <c r="N16" t="s">
        <v>21</v>
      </c>
      <c r="O16" t="s">
        <v>22</v>
      </c>
      <c r="P16" t="s">
        <v>49</v>
      </c>
    </row>
    <row r="17" spans="1:16" x14ac:dyDescent="0.3">
      <c r="A17">
        <v>1044</v>
      </c>
      <c r="B17" s="1">
        <v>44973</v>
      </c>
      <c r="C17" t="s">
        <v>46</v>
      </c>
      <c r="D17" t="s">
        <v>29</v>
      </c>
      <c r="E17">
        <v>22</v>
      </c>
      <c r="F17" t="s">
        <v>35</v>
      </c>
      <c r="G17" s="27">
        <v>7754.1</v>
      </c>
      <c r="H17" s="27">
        <v>3373.46</v>
      </c>
      <c r="I17" s="27">
        <v>3454.76</v>
      </c>
      <c r="J17" s="27">
        <v>1788.6</v>
      </c>
      <c r="K17" s="27">
        <v>0.22</v>
      </c>
      <c r="L17" t="s">
        <v>26</v>
      </c>
      <c r="M17" t="s">
        <v>20</v>
      </c>
      <c r="N17" t="s">
        <v>31</v>
      </c>
      <c r="O17" t="s">
        <v>36</v>
      </c>
      <c r="P17" t="s">
        <v>50</v>
      </c>
    </row>
    <row r="18" spans="1:16" x14ac:dyDescent="0.3">
      <c r="A18">
        <v>1068</v>
      </c>
      <c r="B18" s="1">
        <v>44981</v>
      </c>
      <c r="C18" t="s">
        <v>33</v>
      </c>
      <c r="D18" t="s">
        <v>17</v>
      </c>
      <c r="E18">
        <v>22</v>
      </c>
      <c r="F18" t="s">
        <v>18</v>
      </c>
      <c r="G18" s="27">
        <v>5118.51</v>
      </c>
      <c r="H18" s="27">
        <v>3619.61</v>
      </c>
      <c r="I18" s="27">
        <v>3651.42</v>
      </c>
      <c r="J18" s="27">
        <v>699.82</v>
      </c>
      <c r="K18" s="27">
        <v>0.26</v>
      </c>
      <c r="L18" t="s">
        <v>26</v>
      </c>
      <c r="M18" t="s">
        <v>20</v>
      </c>
      <c r="N18" t="s">
        <v>31</v>
      </c>
      <c r="O18" t="s">
        <v>22</v>
      </c>
      <c r="P18" t="s">
        <v>38</v>
      </c>
    </row>
    <row r="19" spans="1:16" x14ac:dyDescent="0.3">
      <c r="A19">
        <v>1029</v>
      </c>
      <c r="B19" s="1">
        <v>44986</v>
      </c>
      <c r="C19" t="s">
        <v>46</v>
      </c>
      <c r="D19" t="s">
        <v>24</v>
      </c>
      <c r="E19">
        <v>28</v>
      </c>
      <c r="F19" t="s">
        <v>18</v>
      </c>
      <c r="G19" s="27">
        <v>6773.89</v>
      </c>
      <c r="H19" s="27">
        <v>2873.53</v>
      </c>
      <c r="I19" s="27">
        <v>3108.3</v>
      </c>
      <c r="J19" s="27">
        <v>6573.56</v>
      </c>
      <c r="K19" s="27">
        <v>0.15</v>
      </c>
      <c r="L19" t="s">
        <v>19</v>
      </c>
      <c r="M19" t="s">
        <v>27</v>
      </c>
      <c r="N19" t="s">
        <v>42</v>
      </c>
      <c r="O19" t="s">
        <v>36</v>
      </c>
      <c r="P19" t="s">
        <v>47</v>
      </c>
    </row>
    <row r="20" spans="1:16" x14ac:dyDescent="0.3">
      <c r="A20">
        <v>1007</v>
      </c>
      <c r="B20" s="1">
        <v>44988</v>
      </c>
      <c r="C20" t="s">
        <v>16</v>
      </c>
      <c r="D20" t="s">
        <v>34</v>
      </c>
      <c r="E20">
        <v>1</v>
      </c>
      <c r="F20" t="s">
        <v>35</v>
      </c>
      <c r="G20" s="27">
        <v>4694.54</v>
      </c>
      <c r="H20" s="27">
        <v>2543.2600000000002</v>
      </c>
      <c r="I20" s="27">
        <v>2637.91</v>
      </c>
      <c r="J20" s="27">
        <v>94.65</v>
      </c>
      <c r="K20" s="27">
        <v>0.2</v>
      </c>
      <c r="L20" t="s">
        <v>26</v>
      </c>
      <c r="M20" t="s">
        <v>20</v>
      </c>
      <c r="N20" t="s">
        <v>42</v>
      </c>
      <c r="O20" t="s">
        <v>22</v>
      </c>
      <c r="P20" t="s">
        <v>51</v>
      </c>
    </row>
    <row r="21" spans="1:16" x14ac:dyDescent="0.3">
      <c r="A21">
        <v>1099</v>
      </c>
      <c r="B21" s="1">
        <v>44989</v>
      </c>
      <c r="C21" t="s">
        <v>46</v>
      </c>
      <c r="D21" t="s">
        <v>24</v>
      </c>
      <c r="E21">
        <v>10</v>
      </c>
      <c r="F21" t="s">
        <v>30</v>
      </c>
      <c r="G21" s="27">
        <v>7952.11</v>
      </c>
      <c r="H21" s="27">
        <v>1531.2</v>
      </c>
      <c r="I21" s="27">
        <v>1955.56</v>
      </c>
      <c r="J21" s="27">
        <v>4243.6000000000004</v>
      </c>
      <c r="K21" s="27">
        <v>0</v>
      </c>
      <c r="L21" t="s">
        <v>26</v>
      </c>
      <c r="M21" t="s">
        <v>27</v>
      </c>
      <c r="N21" t="s">
        <v>42</v>
      </c>
      <c r="O21" t="s">
        <v>22</v>
      </c>
      <c r="P21" t="s">
        <v>47</v>
      </c>
    </row>
    <row r="22" spans="1:16" x14ac:dyDescent="0.3">
      <c r="A22">
        <v>1040</v>
      </c>
      <c r="B22" s="1">
        <v>44995</v>
      </c>
      <c r="C22" t="s">
        <v>44</v>
      </c>
      <c r="D22" t="s">
        <v>24</v>
      </c>
      <c r="E22">
        <v>13</v>
      </c>
      <c r="F22" t="s">
        <v>18</v>
      </c>
      <c r="G22" s="27">
        <v>2331.27</v>
      </c>
      <c r="H22" s="27">
        <v>2750.18</v>
      </c>
      <c r="I22" s="27">
        <v>2882.85</v>
      </c>
      <c r="J22" s="27">
        <v>1724.71</v>
      </c>
      <c r="K22" s="27">
        <v>0.24</v>
      </c>
      <c r="L22" t="s">
        <v>26</v>
      </c>
      <c r="M22" t="s">
        <v>20</v>
      </c>
      <c r="N22" t="s">
        <v>42</v>
      </c>
      <c r="O22" t="s">
        <v>22</v>
      </c>
      <c r="P22" t="s">
        <v>52</v>
      </c>
    </row>
    <row r="23" spans="1:16" x14ac:dyDescent="0.3">
      <c r="A23">
        <v>1038</v>
      </c>
      <c r="B23" s="1">
        <v>44996</v>
      </c>
      <c r="C23" t="s">
        <v>33</v>
      </c>
      <c r="D23" t="s">
        <v>29</v>
      </c>
      <c r="E23">
        <v>15</v>
      </c>
      <c r="F23" t="s">
        <v>18</v>
      </c>
      <c r="G23" s="27">
        <v>1452.35</v>
      </c>
      <c r="H23" s="27">
        <v>2543.36</v>
      </c>
      <c r="I23" s="27">
        <v>2790.1</v>
      </c>
      <c r="J23" s="27">
        <v>3701.1</v>
      </c>
      <c r="K23" s="27">
        <v>7.0000000000000007E-2</v>
      </c>
      <c r="L23" t="s">
        <v>26</v>
      </c>
      <c r="M23" t="s">
        <v>20</v>
      </c>
      <c r="N23" t="s">
        <v>21</v>
      </c>
      <c r="O23" t="s">
        <v>22</v>
      </c>
      <c r="P23" t="s">
        <v>53</v>
      </c>
    </row>
    <row r="24" spans="1:16" x14ac:dyDescent="0.3">
      <c r="A24">
        <v>1061</v>
      </c>
      <c r="B24" s="1">
        <v>45009</v>
      </c>
      <c r="C24" t="s">
        <v>44</v>
      </c>
      <c r="D24" t="s">
        <v>24</v>
      </c>
      <c r="E24">
        <v>13</v>
      </c>
      <c r="F24" t="s">
        <v>25</v>
      </c>
      <c r="G24" s="27">
        <v>3750.2</v>
      </c>
      <c r="H24" s="27">
        <v>637.37</v>
      </c>
      <c r="I24" s="27">
        <v>692.71</v>
      </c>
      <c r="J24" s="27">
        <v>719.42</v>
      </c>
      <c r="K24" s="27">
        <v>0.08</v>
      </c>
      <c r="L24" t="s">
        <v>26</v>
      </c>
      <c r="M24" t="s">
        <v>27</v>
      </c>
      <c r="N24" t="s">
        <v>42</v>
      </c>
      <c r="O24" t="s">
        <v>22</v>
      </c>
      <c r="P24" t="s">
        <v>52</v>
      </c>
    </row>
    <row r="25" spans="1:16" x14ac:dyDescent="0.3">
      <c r="A25">
        <v>1074</v>
      </c>
      <c r="B25" s="1">
        <v>45010</v>
      </c>
      <c r="C25" t="s">
        <v>16</v>
      </c>
      <c r="D25" t="s">
        <v>34</v>
      </c>
      <c r="E25">
        <v>38</v>
      </c>
      <c r="F25" t="s">
        <v>35</v>
      </c>
      <c r="G25" s="27">
        <v>7499.7</v>
      </c>
      <c r="H25" s="27">
        <v>2610.6</v>
      </c>
      <c r="I25" s="27">
        <v>2836.94</v>
      </c>
      <c r="J25" s="27">
        <v>8600.92</v>
      </c>
      <c r="K25" s="27">
        <v>0.19</v>
      </c>
      <c r="L25" t="s">
        <v>19</v>
      </c>
      <c r="M25" t="s">
        <v>20</v>
      </c>
      <c r="N25" t="s">
        <v>42</v>
      </c>
      <c r="O25" t="s">
        <v>22</v>
      </c>
      <c r="P25" t="s">
        <v>51</v>
      </c>
    </row>
    <row r="26" spans="1:16" x14ac:dyDescent="0.3">
      <c r="A26">
        <v>1005</v>
      </c>
      <c r="B26" s="1">
        <v>45015</v>
      </c>
      <c r="C26" t="s">
        <v>39</v>
      </c>
      <c r="D26" t="s">
        <v>24</v>
      </c>
      <c r="E26">
        <v>12</v>
      </c>
      <c r="F26" t="s">
        <v>25</v>
      </c>
      <c r="G26" s="27">
        <v>6828.24</v>
      </c>
      <c r="H26" s="27">
        <v>319.83</v>
      </c>
      <c r="I26" s="27">
        <v>802.43</v>
      </c>
      <c r="J26" s="27">
        <v>5791.2</v>
      </c>
      <c r="K26" s="27">
        <v>0.04</v>
      </c>
      <c r="L26" t="s">
        <v>19</v>
      </c>
      <c r="M26" t="s">
        <v>27</v>
      </c>
      <c r="N26" t="s">
        <v>42</v>
      </c>
      <c r="O26" t="s">
        <v>36</v>
      </c>
      <c r="P26" t="s">
        <v>40</v>
      </c>
    </row>
    <row r="27" spans="1:16" x14ac:dyDescent="0.3">
      <c r="A27">
        <v>1016</v>
      </c>
      <c r="B27" s="1">
        <v>45016</v>
      </c>
      <c r="C27" t="s">
        <v>16</v>
      </c>
      <c r="D27" t="s">
        <v>24</v>
      </c>
      <c r="E27">
        <v>38</v>
      </c>
      <c r="F27" t="s">
        <v>25</v>
      </c>
      <c r="G27" s="27">
        <v>4309.76</v>
      </c>
      <c r="H27" s="27">
        <v>3883.38</v>
      </c>
      <c r="I27" s="27">
        <v>4152.72</v>
      </c>
      <c r="J27" s="27">
        <v>10234.92</v>
      </c>
      <c r="K27" s="27">
        <v>0.26</v>
      </c>
      <c r="L27" t="s">
        <v>19</v>
      </c>
      <c r="M27" t="s">
        <v>20</v>
      </c>
      <c r="N27" t="s">
        <v>21</v>
      </c>
      <c r="O27" t="s">
        <v>22</v>
      </c>
      <c r="P27" t="s">
        <v>28</v>
      </c>
    </row>
    <row r="28" spans="1:16" x14ac:dyDescent="0.3">
      <c r="A28">
        <v>1058</v>
      </c>
      <c r="B28" s="1">
        <v>45021</v>
      </c>
      <c r="C28" t="s">
        <v>39</v>
      </c>
      <c r="D28" t="s">
        <v>17</v>
      </c>
      <c r="E28">
        <v>33</v>
      </c>
      <c r="F28" t="s">
        <v>30</v>
      </c>
      <c r="G28" s="27">
        <v>2072.23</v>
      </c>
      <c r="H28" s="27">
        <v>1011.65</v>
      </c>
      <c r="I28" s="27">
        <v>1084.28</v>
      </c>
      <c r="J28" s="27">
        <v>2396.79</v>
      </c>
      <c r="K28" s="27">
        <v>7.0000000000000007E-2</v>
      </c>
      <c r="L28" t="s">
        <v>26</v>
      </c>
      <c r="M28" t="s">
        <v>20</v>
      </c>
      <c r="N28" t="s">
        <v>31</v>
      </c>
      <c r="O28" t="s">
        <v>36</v>
      </c>
      <c r="P28" t="s">
        <v>41</v>
      </c>
    </row>
    <row r="29" spans="1:16" x14ac:dyDescent="0.3">
      <c r="A29">
        <v>1083</v>
      </c>
      <c r="B29" s="1">
        <v>45027</v>
      </c>
      <c r="C29" t="s">
        <v>33</v>
      </c>
      <c r="D29" t="s">
        <v>34</v>
      </c>
      <c r="E29">
        <v>29</v>
      </c>
      <c r="F29" t="s">
        <v>30</v>
      </c>
      <c r="G29" s="27">
        <v>618.30999999999995</v>
      </c>
      <c r="H29" s="27">
        <v>2408.81</v>
      </c>
      <c r="I29" s="27">
        <v>2624.09</v>
      </c>
      <c r="J29" s="27">
        <v>6243.12</v>
      </c>
      <c r="K29" s="27">
        <v>0.14000000000000001</v>
      </c>
      <c r="L29" t="s">
        <v>19</v>
      </c>
      <c r="M29" t="s">
        <v>20</v>
      </c>
      <c r="N29" t="s">
        <v>21</v>
      </c>
      <c r="O29" t="s">
        <v>22</v>
      </c>
      <c r="P29" t="s">
        <v>37</v>
      </c>
    </row>
    <row r="30" spans="1:16" x14ac:dyDescent="0.3">
      <c r="A30">
        <v>1093</v>
      </c>
      <c r="B30" s="1">
        <v>45037</v>
      </c>
      <c r="C30" t="s">
        <v>33</v>
      </c>
      <c r="D30" t="s">
        <v>34</v>
      </c>
      <c r="E30">
        <v>17</v>
      </c>
      <c r="F30" t="s">
        <v>30</v>
      </c>
      <c r="G30" s="27">
        <v>4384.0200000000004</v>
      </c>
      <c r="H30" s="27">
        <v>3816.39</v>
      </c>
      <c r="I30" s="27">
        <v>4209.4399999999996</v>
      </c>
      <c r="J30" s="27">
        <v>6681.85</v>
      </c>
      <c r="K30" s="27">
        <v>0.11</v>
      </c>
      <c r="L30" t="s">
        <v>19</v>
      </c>
      <c r="M30" t="s">
        <v>20</v>
      </c>
      <c r="N30" t="s">
        <v>21</v>
      </c>
      <c r="O30" t="s">
        <v>36</v>
      </c>
      <c r="P30" t="s">
        <v>37</v>
      </c>
    </row>
    <row r="31" spans="1:16" x14ac:dyDescent="0.3">
      <c r="A31">
        <v>1009</v>
      </c>
      <c r="B31" s="1">
        <v>45044</v>
      </c>
      <c r="C31" t="s">
        <v>39</v>
      </c>
      <c r="D31" t="s">
        <v>17</v>
      </c>
      <c r="E31">
        <v>33</v>
      </c>
      <c r="F31" t="s">
        <v>18</v>
      </c>
      <c r="G31" s="27">
        <v>1342.95</v>
      </c>
      <c r="H31" s="27">
        <v>2278.9</v>
      </c>
      <c r="I31" s="27">
        <v>2626.9</v>
      </c>
      <c r="J31" s="27">
        <v>11484</v>
      </c>
      <c r="K31" s="27">
        <v>0.05</v>
      </c>
      <c r="L31" t="s">
        <v>19</v>
      </c>
      <c r="M31" t="s">
        <v>27</v>
      </c>
      <c r="N31" t="s">
        <v>42</v>
      </c>
      <c r="O31" t="s">
        <v>22</v>
      </c>
      <c r="P31" t="s">
        <v>41</v>
      </c>
    </row>
    <row r="32" spans="1:16" x14ac:dyDescent="0.3">
      <c r="A32">
        <v>1056</v>
      </c>
      <c r="B32" s="1">
        <v>45053</v>
      </c>
      <c r="C32" t="s">
        <v>46</v>
      </c>
      <c r="D32" t="s">
        <v>24</v>
      </c>
      <c r="E32">
        <v>28</v>
      </c>
      <c r="F32" t="s">
        <v>18</v>
      </c>
      <c r="G32" s="27">
        <v>7611.88</v>
      </c>
      <c r="H32" s="27">
        <v>1566.03</v>
      </c>
      <c r="I32" s="27">
        <v>1576.34</v>
      </c>
      <c r="J32" s="27">
        <v>288.68</v>
      </c>
      <c r="K32" s="27">
        <v>0.2</v>
      </c>
      <c r="L32" t="s">
        <v>26</v>
      </c>
      <c r="M32" t="s">
        <v>20</v>
      </c>
      <c r="N32" t="s">
        <v>31</v>
      </c>
      <c r="O32" t="s">
        <v>22</v>
      </c>
      <c r="P32" t="s">
        <v>47</v>
      </c>
    </row>
    <row r="33" spans="1:16" x14ac:dyDescent="0.3">
      <c r="A33">
        <v>1034</v>
      </c>
      <c r="B33" s="1">
        <v>45056</v>
      </c>
      <c r="C33" t="s">
        <v>16</v>
      </c>
      <c r="D33" t="s">
        <v>24</v>
      </c>
      <c r="E33">
        <v>19</v>
      </c>
      <c r="F33" t="s">
        <v>18</v>
      </c>
      <c r="G33" s="27">
        <v>4892.3599999999997</v>
      </c>
      <c r="H33" s="27">
        <v>1922.21</v>
      </c>
      <c r="I33" s="27">
        <v>2180.83</v>
      </c>
      <c r="J33" s="27">
        <v>4913.78</v>
      </c>
      <c r="K33" s="27">
        <v>0.17</v>
      </c>
      <c r="L33" t="s">
        <v>26</v>
      </c>
      <c r="M33" t="s">
        <v>20</v>
      </c>
      <c r="N33" t="s">
        <v>42</v>
      </c>
      <c r="O33" t="s">
        <v>36</v>
      </c>
      <c r="P33" t="s">
        <v>28</v>
      </c>
    </row>
    <row r="34" spans="1:16" x14ac:dyDescent="0.3">
      <c r="A34">
        <v>1049</v>
      </c>
      <c r="B34" s="1">
        <v>45063</v>
      </c>
      <c r="C34" t="s">
        <v>39</v>
      </c>
      <c r="D34" t="s">
        <v>34</v>
      </c>
      <c r="E34">
        <v>1</v>
      </c>
      <c r="F34" t="s">
        <v>30</v>
      </c>
      <c r="G34" s="27">
        <v>3741.08</v>
      </c>
      <c r="H34" s="27">
        <v>3290.89</v>
      </c>
      <c r="I34" s="27">
        <v>3317.75</v>
      </c>
      <c r="J34" s="27">
        <v>26.86</v>
      </c>
      <c r="K34" s="27">
        <v>0.17</v>
      </c>
      <c r="L34" t="s">
        <v>26</v>
      </c>
      <c r="M34" t="s">
        <v>20</v>
      </c>
      <c r="N34" t="s">
        <v>31</v>
      </c>
      <c r="O34" t="s">
        <v>22</v>
      </c>
      <c r="P34" t="s">
        <v>43</v>
      </c>
    </row>
    <row r="35" spans="1:16" x14ac:dyDescent="0.3">
      <c r="A35">
        <v>1063</v>
      </c>
      <c r="B35" s="1">
        <v>45064</v>
      </c>
      <c r="C35" t="s">
        <v>33</v>
      </c>
      <c r="D35" t="s">
        <v>34</v>
      </c>
      <c r="E35">
        <v>39</v>
      </c>
      <c r="F35" t="s">
        <v>35</v>
      </c>
      <c r="G35" s="27">
        <v>3098.87</v>
      </c>
      <c r="H35" s="27">
        <v>3577.69</v>
      </c>
      <c r="I35" s="27">
        <v>3931.25</v>
      </c>
      <c r="J35" s="27">
        <v>13788.84</v>
      </c>
      <c r="K35" s="27">
        <v>0.21</v>
      </c>
      <c r="L35" t="s">
        <v>19</v>
      </c>
      <c r="M35" t="s">
        <v>20</v>
      </c>
      <c r="N35" t="s">
        <v>21</v>
      </c>
      <c r="O35" t="s">
        <v>36</v>
      </c>
      <c r="P35" t="s">
        <v>37</v>
      </c>
    </row>
    <row r="36" spans="1:16" x14ac:dyDescent="0.3">
      <c r="A36">
        <v>1050</v>
      </c>
      <c r="B36" s="1">
        <v>45065</v>
      </c>
      <c r="C36" t="s">
        <v>44</v>
      </c>
      <c r="D36" t="s">
        <v>24</v>
      </c>
      <c r="E36">
        <v>35</v>
      </c>
      <c r="F36" t="s">
        <v>18</v>
      </c>
      <c r="G36" s="27">
        <v>9744.52</v>
      </c>
      <c r="H36" s="27">
        <v>2158.69</v>
      </c>
      <c r="I36" s="27">
        <v>2384.38</v>
      </c>
      <c r="J36" s="27">
        <v>7899.15</v>
      </c>
      <c r="K36" s="27">
        <v>0.09</v>
      </c>
      <c r="L36" t="s">
        <v>19</v>
      </c>
      <c r="M36" t="s">
        <v>20</v>
      </c>
      <c r="N36" t="s">
        <v>31</v>
      </c>
      <c r="O36" t="s">
        <v>36</v>
      </c>
      <c r="P36" t="s">
        <v>52</v>
      </c>
    </row>
    <row r="37" spans="1:16" x14ac:dyDescent="0.3">
      <c r="A37">
        <v>1071</v>
      </c>
      <c r="B37" s="1">
        <v>45066</v>
      </c>
      <c r="C37" t="s">
        <v>16</v>
      </c>
      <c r="D37" t="s">
        <v>34</v>
      </c>
      <c r="E37">
        <v>6</v>
      </c>
      <c r="F37" t="s">
        <v>30</v>
      </c>
      <c r="G37" s="27">
        <v>3003.76</v>
      </c>
      <c r="H37" s="27">
        <v>2831.23</v>
      </c>
      <c r="I37" s="27">
        <v>3206.98</v>
      </c>
      <c r="J37" s="27">
        <v>2254.5</v>
      </c>
      <c r="K37" s="27">
        <v>0.06</v>
      </c>
      <c r="L37" t="s">
        <v>26</v>
      </c>
      <c r="M37" t="s">
        <v>20</v>
      </c>
      <c r="N37" t="s">
        <v>31</v>
      </c>
      <c r="O37" t="s">
        <v>36</v>
      </c>
      <c r="P37" t="s">
        <v>51</v>
      </c>
    </row>
    <row r="38" spans="1:16" x14ac:dyDescent="0.3">
      <c r="A38">
        <v>1035</v>
      </c>
      <c r="B38" s="1">
        <v>45068</v>
      </c>
      <c r="C38" t="s">
        <v>39</v>
      </c>
      <c r="D38" t="s">
        <v>29</v>
      </c>
      <c r="E38">
        <v>45</v>
      </c>
      <c r="F38" t="s">
        <v>35</v>
      </c>
      <c r="G38" s="27">
        <v>3780.22</v>
      </c>
      <c r="H38" s="27">
        <v>4132.79</v>
      </c>
      <c r="I38" s="27">
        <v>4624.1000000000004</v>
      </c>
      <c r="J38" s="27">
        <v>22108.95</v>
      </c>
      <c r="K38" s="27">
        <v>0.15</v>
      </c>
      <c r="L38" t="s">
        <v>19</v>
      </c>
      <c r="M38" t="s">
        <v>27</v>
      </c>
      <c r="N38" t="s">
        <v>42</v>
      </c>
      <c r="O38" t="s">
        <v>36</v>
      </c>
      <c r="P38" t="s">
        <v>54</v>
      </c>
    </row>
    <row r="39" spans="1:16" x14ac:dyDescent="0.3">
      <c r="A39">
        <v>1002</v>
      </c>
      <c r="B39" s="1">
        <v>45076</v>
      </c>
      <c r="C39" t="s">
        <v>46</v>
      </c>
      <c r="D39" t="s">
        <v>17</v>
      </c>
      <c r="E39">
        <v>17</v>
      </c>
      <c r="F39" t="s">
        <v>30</v>
      </c>
      <c r="G39" s="27">
        <v>6810.35</v>
      </c>
      <c r="H39" s="27">
        <v>4024.76</v>
      </c>
      <c r="I39" s="27">
        <v>4420.1499999999996</v>
      </c>
      <c r="J39" s="27">
        <v>6721.63</v>
      </c>
      <c r="K39" s="27">
        <v>0.04</v>
      </c>
      <c r="L39" t="s">
        <v>19</v>
      </c>
      <c r="M39" t="s">
        <v>20</v>
      </c>
      <c r="N39" t="s">
        <v>21</v>
      </c>
      <c r="O39" t="s">
        <v>22</v>
      </c>
      <c r="P39" t="s">
        <v>55</v>
      </c>
    </row>
    <row r="40" spans="1:16" x14ac:dyDescent="0.3">
      <c r="A40">
        <v>1086</v>
      </c>
      <c r="B40" s="1">
        <v>45079</v>
      </c>
      <c r="C40" t="s">
        <v>33</v>
      </c>
      <c r="D40" t="s">
        <v>24</v>
      </c>
      <c r="E40">
        <v>3</v>
      </c>
      <c r="F40" t="s">
        <v>25</v>
      </c>
      <c r="G40" s="27">
        <v>2495.5700000000002</v>
      </c>
      <c r="H40" s="27">
        <v>1595.35</v>
      </c>
      <c r="I40" s="27">
        <v>1625.71</v>
      </c>
      <c r="J40" s="27">
        <v>91.08</v>
      </c>
      <c r="K40" s="27">
        <v>0.27</v>
      </c>
      <c r="L40" t="s">
        <v>26</v>
      </c>
      <c r="M40" t="s">
        <v>27</v>
      </c>
      <c r="N40" t="s">
        <v>21</v>
      </c>
      <c r="O40" t="s">
        <v>22</v>
      </c>
      <c r="P40" t="s">
        <v>56</v>
      </c>
    </row>
    <row r="41" spans="1:16" x14ac:dyDescent="0.3">
      <c r="A41">
        <v>1069</v>
      </c>
      <c r="B41" s="1">
        <v>45080</v>
      </c>
      <c r="C41" t="s">
        <v>46</v>
      </c>
      <c r="D41" t="s">
        <v>34</v>
      </c>
      <c r="E41">
        <v>42</v>
      </c>
      <c r="F41" t="s">
        <v>18</v>
      </c>
      <c r="G41" s="27">
        <v>6581.04</v>
      </c>
      <c r="H41" s="27">
        <v>1434.2</v>
      </c>
      <c r="I41" s="27">
        <v>1482.88</v>
      </c>
      <c r="J41" s="27">
        <v>2044.56</v>
      </c>
      <c r="K41" s="27">
        <v>0.28000000000000003</v>
      </c>
      <c r="L41" t="s">
        <v>26</v>
      </c>
      <c r="M41" t="s">
        <v>27</v>
      </c>
      <c r="N41" t="s">
        <v>42</v>
      </c>
      <c r="O41" t="s">
        <v>36</v>
      </c>
      <c r="P41" t="s">
        <v>48</v>
      </c>
    </row>
    <row r="42" spans="1:16" x14ac:dyDescent="0.3">
      <c r="A42">
        <v>1079</v>
      </c>
      <c r="B42" s="1">
        <v>45083</v>
      </c>
      <c r="C42" t="s">
        <v>46</v>
      </c>
      <c r="D42" t="s">
        <v>29</v>
      </c>
      <c r="E42">
        <v>34</v>
      </c>
      <c r="F42" t="s">
        <v>30</v>
      </c>
      <c r="G42" s="27">
        <v>1982.07</v>
      </c>
      <c r="H42" s="27">
        <v>1967.96</v>
      </c>
      <c r="I42" s="27">
        <v>1993.4</v>
      </c>
      <c r="J42" s="27">
        <v>864.96</v>
      </c>
      <c r="K42" s="27">
        <v>0.15</v>
      </c>
      <c r="L42" t="s">
        <v>26</v>
      </c>
      <c r="M42" t="s">
        <v>20</v>
      </c>
      <c r="N42" t="s">
        <v>42</v>
      </c>
      <c r="O42" t="s">
        <v>22</v>
      </c>
      <c r="P42" t="s">
        <v>50</v>
      </c>
    </row>
    <row r="43" spans="1:16" x14ac:dyDescent="0.3">
      <c r="A43">
        <v>1032</v>
      </c>
      <c r="B43" s="1">
        <v>45085</v>
      </c>
      <c r="C43" t="s">
        <v>16</v>
      </c>
      <c r="D43" t="s">
        <v>34</v>
      </c>
      <c r="E43">
        <v>49</v>
      </c>
      <c r="F43" t="s">
        <v>25</v>
      </c>
      <c r="G43" s="27">
        <v>219.82</v>
      </c>
      <c r="H43" s="27">
        <v>4812.41</v>
      </c>
      <c r="I43" s="27">
        <v>5088</v>
      </c>
      <c r="J43" s="27">
        <v>13503.91</v>
      </c>
      <c r="K43" s="27">
        <v>0.09</v>
      </c>
      <c r="L43" t="s">
        <v>19</v>
      </c>
      <c r="M43" t="s">
        <v>20</v>
      </c>
      <c r="N43" t="s">
        <v>42</v>
      </c>
      <c r="O43" t="s">
        <v>22</v>
      </c>
      <c r="P43" t="s">
        <v>51</v>
      </c>
    </row>
    <row r="44" spans="1:16" x14ac:dyDescent="0.3">
      <c r="A44">
        <v>1054</v>
      </c>
      <c r="B44" s="1">
        <v>45087</v>
      </c>
      <c r="C44" t="s">
        <v>33</v>
      </c>
      <c r="D44" t="s">
        <v>29</v>
      </c>
      <c r="E44">
        <v>21</v>
      </c>
      <c r="F44" t="s">
        <v>30</v>
      </c>
      <c r="G44" s="27">
        <v>7853.66</v>
      </c>
      <c r="H44" s="27">
        <v>4668.1400000000003</v>
      </c>
      <c r="I44" s="27">
        <v>5040.22</v>
      </c>
      <c r="J44" s="27">
        <v>7813.68</v>
      </c>
      <c r="K44" s="27">
        <v>0.05</v>
      </c>
      <c r="L44" t="s">
        <v>19</v>
      </c>
      <c r="M44" t="s">
        <v>27</v>
      </c>
      <c r="N44" t="s">
        <v>31</v>
      </c>
      <c r="O44" t="s">
        <v>22</v>
      </c>
      <c r="P44" t="s">
        <v>53</v>
      </c>
    </row>
    <row r="45" spans="1:16" x14ac:dyDescent="0.3">
      <c r="A45">
        <v>1011</v>
      </c>
      <c r="B45" s="1">
        <v>45091</v>
      </c>
      <c r="C45" t="s">
        <v>39</v>
      </c>
      <c r="D45" t="s">
        <v>29</v>
      </c>
      <c r="E45">
        <v>38</v>
      </c>
      <c r="F45" t="s">
        <v>30</v>
      </c>
      <c r="G45" s="27">
        <v>4531.97</v>
      </c>
      <c r="H45" s="27">
        <v>4456.67</v>
      </c>
      <c r="I45" s="27">
        <v>4642.46</v>
      </c>
      <c r="J45" s="27">
        <v>7060.02</v>
      </c>
      <c r="K45" s="27">
        <v>0.06</v>
      </c>
      <c r="L45" t="s">
        <v>19</v>
      </c>
      <c r="M45" t="s">
        <v>27</v>
      </c>
      <c r="N45" t="s">
        <v>31</v>
      </c>
      <c r="O45" t="s">
        <v>22</v>
      </c>
      <c r="P45" t="s">
        <v>54</v>
      </c>
    </row>
    <row r="46" spans="1:16" x14ac:dyDescent="0.3">
      <c r="A46">
        <v>1004</v>
      </c>
      <c r="B46" s="1">
        <v>45099</v>
      </c>
      <c r="C46" t="s">
        <v>16</v>
      </c>
      <c r="D46" t="s">
        <v>29</v>
      </c>
      <c r="E46">
        <v>39</v>
      </c>
      <c r="F46" t="s">
        <v>25</v>
      </c>
      <c r="G46" s="27">
        <v>7762.51</v>
      </c>
      <c r="H46" s="27">
        <v>2416.89</v>
      </c>
      <c r="I46" s="27">
        <v>2778.4</v>
      </c>
      <c r="J46" s="27">
        <v>14098.89</v>
      </c>
      <c r="K46" s="27">
        <v>0.05</v>
      </c>
      <c r="L46" t="s">
        <v>19</v>
      </c>
      <c r="M46" t="s">
        <v>20</v>
      </c>
      <c r="N46" t="s">
        <v>21</v>
      </c>
      <c r="O46" t="s">
        <v>22</v>
      </c>
      <c r="P46" t="s">
        <v>32</v>
      </c>
    </row>
    <row r="47" spans="1:16" x14ac:dyDescent="0.3">
      <c r="A47">
        <v>1023</v>
      </c>
      <c r="B47" s="1">
        <v>45105</v>
      </c>
      <c r="C47" t="s">
        <v>16</v>
      </c>
      <c r="D47" t="s">
        <v>24</v>
      </c>
      <c r="E47">
        <v>9</v>
      </c>
      <c r="F47" t="s">
        <v>18</v>
      </c>
      <c r="G47" s="27">
        <v>2170.94</v>
      </c>
      <c r="H47" s="27">
        <v>4155.46</v>
      </c>
      <c r="I47" s="27">
        <v>4273.6000000000004</v>
      </c>
      <c r="J47" s="27">
        <v>1063.26</v>
      </c>
      <c r="K47" s="27">
        <v>0.25</v>
      </c>
      <c r="L47" t="s">
        <v>26</v>
      </c>
      <c r="M47" t="s">
        <v>20</v>
      </c>
      <c r="N47" t="s">
        <v>21</v>
      </c>
      <c r="O47" t="s">
        <v>36</v>
      </c>
      <c r="P47" t="s">
        <v>28</v>
      </c>
    </row>
    <row r="48" spans="1:16" x14ac:dyDescent="0.3">
      <c r="A48">
        <v>1075</v>
      </c>
      <c r="B48" s="1">
        <v>45106</v>
      </c>
      <c r="C48" t="s">
        <v>46</v>
      </c>
      <c r="D48" t="s">
        <v>29</v>
      </c>
      <c r="E48">
        <v>30</v>
      </c>
      <c r="F48" t="s">
        <v>30</v>
      </c>
      <c r="G48" s="27">
        <v>4223.3900000000003</v>
      </c>
      <c r="H48" s="27">
        <v>738.06</v>
      </c>
      <c r="I48" s="27">
        <v>1095.45</v>
      </c>
      <c r="J48" s="27">
        <v>10721.7</v>
      </c>
      <c r="K48" s="27">
        <v>0.05</v>
      </c>
      <c r="L48" t="s">
        <v>19</v>
      </c>
      <c r="M48" t="s">
        <v>27</v>
      </c>
      <c r="N48" t="s">
        <v>31</v>
      </c>
      <c r="O48" t="s">
        <v>22</v>
      </c>
      <c r="P48" t="s">
        <v>50</v>
      </c>
    </row>
    <row r="49" spans="1:16" x14ac:dyDescent="0.3">
      <c r="A49">
        <v>1066</v>
      </c>
      <c r="B49" s="1">
        <v>45110</v>
      </c>
      <c r="C49" t="s">
        <v>44</v>
      </c>
      <c r="D49" t="s">
        <v>17</v>
      </c>
      <c r="E49">
        <v>15</v>
      </c>
      <c r="F49" t="s">
        <v>30</v>
      </c>
      <c r="G49" s="27">
        <v>6380.2</v>
      </c>
      <c r="H49" s="27">
        <v>2579.31</v>
      </c>
      <c r="I49" s="27">
        <v>2867.36</v>
      </c>
      <c r="J49" s="27">
        <v>4320.75</v>
      </c>
      <c r="K49" s="27">
        <v>0.04</v>
      </c>
      <c r="L49" t="s">
        <v>26</v>
      </c>
      <c r="M49" t="s">
        <v>20</v>
      </c>
      <c r="N49" t="s">
        <v>31</v>
      </c>
      <c r="O49" t="s">
        <v>36</v>
      </c>
      <c r="P49" t="s">
        <v>57</v>
      </c>
    </row>
    <row r="50" spans="1:16" x14ac:dyDescent="0.3">
      <c r="A50">
        <v>1030</v>
      </c>
      <c r="B50" s="1">
        <v>45124</v>
      </c>
      <c r="C50" t="s">
        <v>46</v>
      </c>
      <c r="D50" t="s">
        <v>34</v>
      </c>
      <c r="E50">
        <v>19</v>
      </c>
      <c r="F50" t="s">
        <v>18</v>
      </c>
      <c r="G50" s="27">
        <v>3023.48</v>
      </c>
      <c r="H50" s="27">
        <v>3049.33</v>
      </c>
      <c r="I50" s="27">
        <v>3209.22</v>
      </c>
      <c r="J50" s="27">
        <v>3037.91</v>
      </c>
      <c r="K50" s="27">
        <v>0.26</v>
      </c>
      <c r="L50" t="s">
        <v>26</v>
      </c>
      <c r="M50" t="s">
        <v>20</v>
      </c>
      <c r="N50" t="s">
        <v>21</v>
      </c>
      <c r="O50" t="s">
        <v>22</v>
      </c>
      <c r="P50" t="s">
        <v>48</v>
      </c>
    </row>
    <row r="51" spans="1:16" x14ac:dyDescent="0.3">
      <c r="A51">
        <v>1017</v>
      </c>
      <c r="B51" s="1">
        <v>45128</v>
      </c>
      <c r="C51" t="s">
        <v>46</v>
      </c>
      <c r="D51" t="s">
        <v>24</v>
      </c>
      <c r="E51">
        <v>1</v>
      </c>
      <c r="F51" t="s">
        <v>35</v>
      </c>
      <c r="G51" s="27">
        <v>3388.69</v>
      </c>
      <c r="H51" s="27">
        <v>172.59</v>
      </c>
      <c r="I51" s="27">
        <v>404.69</v>
      </c>
      <c r="J51" s="27">
        <v>232.1</v>
      </c>
      <c r="K51" s="27">
        <v>0.28999999999999998</v>
      </c>
      <c r="L51" t="s">
        <v>26</v>
      </c>
      <c r="M51" t="s">
        <v>20</v>
      </c>
      <c r="N51" t="s">
        <v>31</v>
      </c>
      <c r="O51" t="s">
        <v>22</v>
      </c>
      <c r="P51" t="s">
        <v>47</v>
      </c>
    </row>
    <row r="52" spans="1:16" x14ac:dyDescent="0.3">
      <c r="A52">
        <v>1039</v>
      </c>
      <c r="B52" s="1">
        <v>45129</v>
      </c>
      <c r="C52" t="s">
        <v>39</v>
      </c>
      <c r="D52" t="s">
        <v>24</v>
      </c>
      <c r="E52">
        <v>42</v>
      </c>
      <c r="F52" t="s">
        <v>18</v>
      </c>
      <c r="G52" s="27">
        <v>6807.67</v>
      </c>
      <c r="H52" s="27">
        <v>3120.19</v>
      </c>
      <c r="I52" s="27">
        <v>3600.14</v>
      </c>
      <c r="J52" s="27">
        <v>20157.900000000001</v>
      </c>
      <c r="K52" s="27">
        <v>0.19</v>
      </c>
      <c r="L52" t="s">
        <v>19</v>
      </c>
      <c r="M52" t="s">
        <v>20</v>
      </c>
      <c r="N52" t="s">
        <v>42</v>
      </c>
      <c r="O52" t="s">
        <v>36</v>
      </c>
      <c r="P52" t="s">
        <v>40</v>
      </c>
    </row>
    <row r="53" spans="1:16" x14ac:dyDescent="0.3">
      <c r="A53">
        <v>1047</v>
      </c>
      <c r="B53" s="1">
        <v>45146</v>
      </c>
      <c r="C53" t="s">
        <v>46</v>
      </c>
      <c r="D53" t="s">
        <v>17</v>
      </c>
      <c r="E53">
        <v>33</v>
      </c>
      <c r="F53" t="s">
        <v>25</v>
      </c>
      <c r="G53" s="27">
        <v>1331.25</v>
      </c>
      <c r="H53" s="27">
        <v>1341.55</v>
      </c>
      <c r="I53" s="27">
        <v>1427.21</v>
      </c>
      <c r="J53" s="27">
        <v>2826.78</v>
      </c>
      <c r="K53" s="27">
        <v>0.15</v>
      </c>
      <c r="L53" t="s">
        <v>26</v>
      </c>
      <c r="M53" t="s">
        <v>20</v>
      </c>
      <c r="N53" t="s">
        <v>42</v>
      </c>
      <c r="O53" t="s">
        <v>22</v>
      </c>
      <c r="P53" t="s">
        <v>55</v>
      </c>
    </row>
    <row r="54" spans="1:16" x14ac:dyDescent="0.3">
      <c r="A54">
        <v>1084</v>
      </c>
      <c r="B54" s="1">
        <v>45151</v>
      </c>
      <c r="C54" t="s">
        <v>39</v>
      </c>
      <c r="D54" t="s">
        <v>34</v>
      </c>
      <c r="E54">
        <v>21</v>
      </c>
      <c r="F54" t="s">
        <v>30</v>
      </c>
      <c r="G54" s="27">
        <v>1290.05</v>
      </c>
      <c r="H54" s="27">
        <v>3497.98</v>
      </c>
      <c r="I54" s="27">
        <v>3765.31</v>
      </c>
      <c r="J54" s="27">
        <v>5613.93</v>
      </c>
      <c r="K54" s="27">
        <v>0.08</v>
      </c>
      <c r="L54" t="s">
        <v>19</v>
      </c>
      <c r="M54" t="s">
        <v>27</v>
      </c>
      <c r="N54" t="s">
        <v>21</v>
      </c>
      <c r="O54" t="s">
        <v>22</v>
      </c>
      <c r="P54" t="s">
        <v>43</v>
      </c>
    </row>
    <row r="55" spans="1:16" x14ac:dyDescent="0.3">
      <c r="A55">
        <v>1100</v>
      </c>
      <c r="B55" s="1">
        <v>45152</v>
      </c>
      <c r="C55" t="s">
        <v>33</v>
      </c>
      <c r="D55" t="s">
        <v>34</v>
      </c>
      <c r="E55">
        <v>43</v>
      </c>
      <c r="F55" t="s">
        <v>35</v>
      </c>
      <c r="G55" s="27">
        <v>2198.7399999999998</v>
      </c>
      <c r="H55" s="27">
        <v>1100.81</v>
      </c>
      <c r="I55" s="27">
        <v>1137.44</v>
      </c>
      <c r="J55" s="27">
        <v>1575.09</v>
      </c>
      <c r="K55" s="27">
        <v>0.08</v>
      </c>
      <c r="L55" t="s">
        <v>26</v>
      </c>
      <c r="M55" t="s">
        <v>20</v>
      </c>
      <c r="N55" t="s">
        <v>31</v>
      </c>
      <c r="O55" t="s">
        <v>22</v>
      </c>
      <c r="P55" t="s">
        <v>37</v>
      </c>
    </row>
    <row r="56" spans="1:16" x14ac:dyDescent="0.3">
      <c r="A56">
        <v>1022</v>
      </c>
      <c r="B56" s="1">
        <v>45155</v>
      </c>
      <c r="C56" t="s">
        <v>44</v>
      </c>
      <c r="D56" t="s">
        <v>29</v>
      </c>
      <c r="E56">
        <v>21</v>
      </c>
      <c r="F56" t="s">
        <v>35</v>
      </c>
      <c r="G56" s="27">
        <v>8813.5499999999993</v>
      </c>
      <c r="H56" s="27">
        <v>2537.1999999999998</v>
      </c>
      <c r="I56" s="27">
        <v>2869.6</v>
      </c>
      <c r="J56" s="27">
        <v>6980.4</v>
      </c>
      <c r="K56" s="27">
        <v>0.28999999999999998</v>
      </c>
      <c r="L56" t="s">
        <v>19</v>
      </c>
      <c r="M56" t="s">
        <v>27</v>
      </c>
      <c r="N56" t="s">
        <v>31</v>
      </c>
      <c r="O56" t="s">
        <v>36</v>
      </c>
      <c r="P56" t="s">
        <v>45</v>
      </c>
    </row>
    <row r="57" spans="1:16" x14ac:dyDescent="0.3">
      <c r="A57">
        <v>1072</v>
      </c>
      <c r="B57" s="1">
        <v>45162</v>
      </c>
      <c r="C57" t="s">
        <v>33</v>
      </c>
      <c r="D57" t="s">
        <v>29</v>
      </c>
      <c r="E57">
        <v>39</v>
      </c>
      <c r="F57" t="s">
        <v>18</v>
      </c>
      <c r="G57" s="27">
        <v>2167.94</v>
      </c>
      <c r="H57" s="27">
        <v>4330.03</v>
      </c>
      <c r="I57" s="27">
        <v>4467.75</v>
      </c>
      <c r="J57" s="27">
        <v>5371.08</v>
      </c>
      <c r="K57" s="27">
        <v>0.02</v>
      </c>
      <c r="L57" t="s">
        <v>19</v>
      </c>
      <c r="M57" t="s">
        <v>27</v>
      </c>
      <c r="N57" t="s">
        <v>42</v>
      </c>
      <c r="O57" t="s">
        <v>36</v>
      </c>
      <c r="P57" t="s">
        <v>53</v>
      </c>
    </row>
    <row r="58" spans="1:16" x14ac:dyDescent="0.3">
      <c r="A58">
        <v>1059</v>
      </c>
      <c r="B58" s="1">
        <v>45169</v>
      </c>
      <c r="C58" t="s">
        <v>39</v>
      </c>
      <c r="D58" t="s">
        <v>17</v>
      </c>
      <c r="E58">
        <v>35</v>
      </c>
      <c r="F58" t="s">
        <v>35</v>
      </c>
      <c r="G58" s="27">
        <v>1203.97</v>
      </c>
      <c r="H58" s="27">
        <v>3333.64</v>
      </c>
      <c r="I58" s="27">
        <v>3764.52</v>
      </c>
      <c r="J58" s="27">
        <v>15080.8</v>
      </c>
      <c r="K58" s="27">
        <v>0.02</v>
      </c>
      <c r="L58" t="s">
        <v>19</v>
      </c>
      <c r="M58" t="s">
        <v>20</v>
      </c>
      <c r="N58" t="s">
        <v>42</v>
      </c>
      <c r="O58" t="s">
        <v>22</v>
      </c>
      <c r="P58" t="s">
        <v>41</v>
      </c>
    </row>
    <row r="59" spans="1:16" x14ac:dyDescent="0.3">
      <c r="A59">
        <v>1091</v>
      </c>
      <c r="B59" s="1">
        <v>45173</v>
      </c>
      <c r="C59" t="s">
        <v>44</v>
      </c>
      <c r="D59" t="s">
        <v>29</v>
      </c>
      <c r="E59">
        <v>44</v>
      </c>
      <c r="F59" t="s">
        <v>35</v>
      </c>
      <c r="G59" s="27">
        <v>675.11</v>
      </c>
      <c r="H59" s="27">
        <v>2085.46</v>
      </c>
      <c r="I59" s="27">
        <v>2406.58</v>
      </c>
      <c r="J59" s="27">
        <v>14129.28</v>
      </c>
      <c r="K59" s="27">
        <v>0.06</v>
      </c>
      <c r="L59" t="s">
        <v>19</v>
      </c>
      <c r="M59" t="s">
        <v>20</v>
      </c>
      <c r="N59" t="s">
        <v>31</v>
      </c>
      <c r="O59" t="s">
        <v>36</v>
      </c>
      <c r="P59" t="s">
        <v>45</v>
      </c>
    </row>
    <row r="60" spans="1:16" x14ac:dyDescent="0.3">
      <c r="A60">
        <v>1020</v>
      </c>
      <c r="B60" s="1">
        <v>45177</v>
      </c>
      <c r="C60" t="s">
        <v>16</v>
      </c>
      <c r="D60" t="s">
        <v>17</v>
      </c>
      <c r="E60">
        <v>26</v>
      </c>
      <c r="F60" t="s">
        <v>18</v>
      </c>
      <c r="G60" s="27">
        <v>9733.4699999999993</v>
      </c>
      <c r="H60" s="27">
        <v>4472.3500000000004</v>
      </c>
      <c r="I60" s="27">
        <v>4770.42</v>
      </c>
      <c r="J60" s="27">
        <v>7749.82</v>
      </c>
      <c r="K60" s="27">
        <v>0.01</v>
      </c>
      <c r="L60" t="s">
        <v>19</v>
      </c>
      <c r="M60" t="s">
        <v>27</v>
      </c>
      <c r="N60" t="s">
        <v>42</v>
      </c>
      <c r="O60" t="s">
        <v>36</v>
      </c>
      <c r="P60" t="s">
        <v>23</v>
      </c>
    </row>
    <row r="61" spans="1:16" x14ac:dyDescent="0.3">
      <c r="A61">
        <v>1096</v>
      </c>
      <c r="B61" s="1">
        <v>45180</v>
      </c>
      <c r="C61" t="s">
        <v>16</v>
      </c>
      <c r="D61" t="s">
        <v>29</v>
      </c>
      <c r="E61">
        <v>23</v>
      </c>
      <c r="F61" t="s">
        <v>25</v>
      </c>
      <c r="G61" s="27">
        <v>7597.37</v>
      </c>
      <c r="H61" s="27">
        <v>608.57000000000005</v>
      </c>
      <c r="I61" s="27">
        <v>1032.22</v>
      </c>
      <c r="J61" s="27">
        <v>9743.9500000000007</v>
      </c>
      <c r="K61" s="27">
        <v>0.25</v>
      </c>
      <c r="L61" t="s">
        <v>19</v>
      </c>
      <c r="M61" t="s">
        <v>27</v>
      </c>
      <c r="N61" t="s">
        <v>21</v>
      </c>
      <c r="O61" t="s">
        <v>36</v>
      </c>
      <c r="P61" t="s">
        <v>32</v>
      </c>
    </row>
    <row r="62" spans="1:16" x14ac:dyDescent="0.3">
      <c r="A62">
        <v>1006</v>
      </c>
      <c r="B62" s="1">
        <v>45185</v>
      </c>
      <c r="C62" t="s">
        <v>33</v>
      </c>
      <c r="D62" t="s">
        <v>17</v>
      </c>
      <c r="E62">
        <v>49</v>
      </c>
      <c r="F62" t="s">
        <v>35</v>
      </c>
      <c r="G62" s="27">
        <v>8995.75</v>
      </c>
      <c r="H62" s="27">
        <v>2843.76</v>
      </c>
      <c r="I62" s="27">
        <v>3146.6</v>
      </c>
      <c r="J62" s="27">
        <v>14839.16</v>
      </c>
      <c r="K62" s="27">
        <v>0.08</v>
      </c>
      <c r="L62" t="s">
        <v>19</v>
      </c>
      <c r="M62" t="s">
        <v>27</v>
      </c>
      <c r="N62" t="s">
        <v>21</v>
      </c>
      <c r="O62" t="s">
        <v>36</v>
      </c>
      <c r="P62" t="s">
        <v>38</v>
      </c>
    </row>
    <row r="63" spans="1:16" x14ac:dyDescent="0.3">
      <c r="A63">
        <v>1057</v>
      </c>
      <c r="B63" s="1">
        <v>45187</v>
      </c>
      <c r="C63" t="s">
        <v>44</v>
      </c>
      <c r="D63" t="s">
        <v>34</v>
      </c>
      <c r="E63">
        <v>25</v>
      </c>
      <c r="F63" t="s">
        <v>35</v>
      </c>
      <c r="G63" s="27">
        <v>7315.73</v>
      </c>
      <c r="H63" s="27">
        <v>1821.91</v>
      </c>
      <c r="I63" s="27">
        <v>2027.74</v>
      </c>
      <c r="J63" s="27">
        <v>5145.75</v>
      </c>
      <c r="K63" s="27">
        <v>0.02</v>
      </c>
      <c r="L63" t="s">
        <v>19</v>
      </c>
      <c r="M63" t="s">
        <v>27</v>
      </c>
      <c r="N63" t="s">
        <v>31</v>
      </c>
      <c r="O63" t="s">
        <v>36</v>
      </c>
      <c r="P63" t="s">
        <v>49</v>
      </c>
    </row>
    <row r="64" spans="1:16" x14ac:dyDescent="0.3">
      <c r="A64">
        <v>1015</v>
      </c>
      <c r="B64" s="1">
        <v>45190</v>
      </c>
      <c r="C64" t="s">
        <v>46</v>
      </c>
      <c r="D64" t="s">
        <v>29</v>
      </c>
      <c r="E64">
        <v>30</v>
      </c>
      <c r="F64" t="s">
        <v>35</v>
      </c>
      <c r="G64" s="27">
        <v>4631.2299999999996</v>
      </c>
      <c r="H64" s="27">
        <v>261.56</v>
      </c>
      <c r="I64" s="27">
        <v>371.4</v>
      </c>
      <c r="J64" s="27">
        <v>3295.2</v>
      </c>
      <c r="K64" s="27">
        <v>0.2</v>
      </c>
      <c r="L64" t="s">
        <v>26</v>
      </c>
      <c r="M64" t="s">
        <v>20</v>
      </c>
      <c r="N64" t="s">
        <v>31</v>
      </c>
      <c r="O64" t="s">
        <v>36</v>
      </c>
      <c r="P64" t="s">
        <v>50</v>
      </c>
    </row>
    <row r="65" spans="1:16" x14ac:dyDescent="0.3">
      <c r="A65">
        <v>1048</v>
      </c>
      <c r="B65" s="1">
        <v>45199</v>
      </c>
      <c r="C65" t="s">
        <v>44</v>
      </c>
      <c r="D65" t="s">
        <v>17</v>
      </c>
      <c r="E65">
        <v>4</v>
      </c>
      <c r="F65" t="s">
        <v>30</v>
      </c>
      <c r="G65" s="27">
        <v>7873.38</v>
      </c>
      <c r="H65" s="27">
        <v>2900.14</v>
      </c>
      <c r="I65" s="27">
        <v>2910.51</v>
      </c>
      <c r="J65" s="27">
        <v>41.48</v>
      </c>
      <c r="K65" s="27">
        <v>0.22</v>
      </c>
      <c r="L65" t="s">
        <v>26</v>
      </c>
      <c r="M65" t="s">
        <v>27</v>
      </c>
      <c r="N65" t="s">
        <v>42</v>
      </c>
      <c r="O65" t="s">
        <v>36</v>
      </c>
      <c r="P65" t="s">
        <v>57</v>
      </c>
    </row>
    <row r="66" spans="1:16" x14ac:dyDescent="0.3">
      <c r="A66">
        <v>1025</v>
      </c>
      <c r="B66" s="1">
        <v>45214</v>
      </c>
      <c r="C66" t="s">
        <v>46</v>
      </c>
      <c r="D66" t="s">
        <v>17</v>
      </c>
      <c r="E66">
        <v>44</v>
      </c>
      <c r="F66" t="s">
        <v>35</v>
      </c>
      <c r="G66" s="27">
        <v>3422.54</v>
      </c>
      <c r="H66" s="27">
        <v>1485.72</v>
      </c>
      <c r="I66" s="27">
        <v>1717.97</v>
      </c>
      <c r="J66" s="27">
        <v>10219</v>
      </c>
      <c r="K66" s="27">
        <v>0.02</v>
      </c>
      <c r="L66" t="s">
        <v>19</v>
      </c>
      <c r="M66" t="s">
        <v>27</v>
      </c>
      <c r="N66" t="s">
        <v>42</v>
      </c>
      <c r="O66" t="s">
        <v>36</v>
      </c>
      <c r="P66" t="s">
        <v>55</v>
      </c>
    </row>
    <row r="67" spans="1:16" x14ac:dyDescent="0.3">
      <c r="A67">
        <v>1053</v>
      </c>
      <c r="B67" s="1">
        <v>45215</v>
      </c>
      <c r="C67" t="s">
        <v>33</v>
      </c>
      <c r="D67" t="s">
        <v>17</v>
      </c>
      <c r="E67">
        <v>48</v>
      </c>
      <c r="F67" t="s">
        <v>30</v>
      </c>
      <c r="G67" s="27">
        <v>2235.83</v>
      </c>
      <c r="H67" s="27">
        <v>121.19</v>
      </c>
      <c r="I67" s="27">
        <v>487.65</v>
      </c>
      <c r="J67" s="27">
        <v>17590.080000000002</v>
      </c>
      <c r="K67" s="27">
        <v>0.18</v>
      </c>
      <c r="L67" t="s">
        <v>19</v>
      </c>
      <c r="M67" t="s">
        <v>27</v>
      </c>
      <c r="N67" t="s">
        <v>21</v>
      </c>
      <c r="O67" t="s">
        <v>36</v>
      </c>
      <c r="P67" t="s">
        <v>38</v>
      </c>
    </row>
    <row r="68" spans="1:16" x14ac:dyDescent="0.3">
      <c r="A68">
        <v>1098</v>
      </c>
      <c r="B68" s="1">
        <v>45217</v>
      </c>
      <c r="C68" t="s">
        <v>16</v>
      </c>
      <c r="D68" t="s">
        <v>34</v>
      </c>
      <c r="E68">
        <v>21</v>
      </c>
      <c r="F68" t="s">
        <v>30</v>
      </c>
      <c r="G68" s="27">
        <v>1600.79</v>
      </c>
      <c r="H68" s="27">
        <v>725.03</v>
      </c>
      <c r="I68" s="27">
        <v>828.95</v>
      </c>
      <c r="J68" s="27">
        <v>2182.3200000000002</v>
      </c>
      <c r="K68" s="27">
        <v>0.18</v>
      </c>
      <c r="L68" t="s">
        <v>26</v>
      </c>
      <c r="M68" t="s">
        <v>27</v>
      </c>
      <c r="N68" t="s">
        <v>31</v>
      </c>
      <c r="O68" t="s">
        <v>22</v>
      </c>
      <c r="P68" t="s">
        <v>51</v>
      </c>
    </row>
    <row r="69" spans="1:16" x14ac:dyDescent="0.3">
      <c r="A69">
        <v>1036</v>
      </c>
      <c r="B69" s="1">
        <v>45219</v>
      </c>
      <c r="C69" t="s">
        <v>46</v>
      </c>
      <c r="D69" t="s">
        <v>17</v>
      </c>
      <c r="E69">
        <v>49</v>
      </c>
      <c r="F69" t="s">
        <v>18</v>
      </c>
      <c r="G69" s="27">
        <v>6499.94</v>
      </c>
      <c r="H69" s="27">
        <v>1247.0999999999999</v>
      </c>
      <c r="I69" s="27">
        <v>1429.44</v>
      </c>
      <c r="J69" s="27">
        <v>8934.66</v>
      </c>
      <c r="K69" s="27">
        <v>0.16</v>
      </c>
      <c r="L69" t="s">
        <v>19</v>
      </c>
      <c r="M69" t="s">
        <v>27</v>
      </c>
      <c r="N69" t="s">
        <v>21</v>
      </c>
      <c r="O69" t="s">
        <v>22</v>
      </c>
      <c r="P69" t="s">
        <v>55</v>
      </c>
    </row>
    <row r="70" spans="1:16" x14ac:dyDescent="0.3">
      <c r="A70">
        <v>1013</v>
      </c>
      <c r="B70" s="1">
        <v>45220</v>
      </c>
      <c r="C70" t="s">
        <v>46</v>
      </c>
      <c r="D70" t="s">
        <v>24</v>
      </c>
      <c r="E70">
        <v>20</v>
      </c>
      <c r="F70" t="s">
        <v>25</v>
      </c>
      <c r="G70" s="27">
        <v>5039.07</v>
      </c>
      <c r="H70" s="27">
        <v>1533.36</v>
      </c>
      <c r="I70" s="27">
        <v>1649.74</v>
      </c>
      <c r="J70" s="27">
        <v>2327.6</v>
      </c>
      <c r="K70" s="27">
        <v>0.1</v>
      </c>
      <c r="L70" t="s">
        <v>26</v>
      </c>
      <c r="M70" t="s">
        <v>20</v>
      </c>
      <c r="N70" t="s">
        <v>31</v>
      </c>
      <c r="O70" t="s">
        <v>22</v>
      </c>
      <c r="P70" t="s">
        <v>47</v>
      </c>
    </row>
    <row r="71" spans="1:16" x14ac:dyDescent="0.3">
      <c r="A71">
        <v>1012</v>
      </c>
      <c r="B71" s="1">
        <v>45221</v>
      </c>
      <c r="C71" t="s">
        <v>46</v>
      </c>
      <c r="D71" t="s">
        <v>17</v>
      </c>
      <c r="E71">
        <v>34</v>
      </c>
      <c r="F71" t="s">
        <v>30</v>
      </c>
      <c r="G71" s="27">
        <v>4384.88</v>
      </c>
      <c r="H71" s="27">
        <v>2462.5500000000002</v>
      </c>
      <c r="I71" s="27">
        <v>2521.77</v>
      </c>
      <c r="J71" s="27">
        <v>2013.48</v>
      </c>
      <c r="K71" s="27">
        <v>0.21</v>
      </c>
      <c r="L71" t="s">
        <v>26</v>
      </c>
      <c r="M71" t="s">
        <v>27</v>
      </c>
      <c r="N71" t="s">
        <v>31</v>
      </c>
      <c r="O71" t="s">
        <v>36</v>
      </c>
      <c r="P71" t="s">
        <v>55</v>
      </c>
    </row>
    <row r="72" spans="1:16" x14ac:dyDescent="0.3">
      <c r="A72">
        <v>1097</v>
      </c>
      <c r="B72" s="1">
        <v>45225</v>
      </c>
      <c r="C72" t="s">
        <v>39</v>
      </c>
      <c r="D72" t="s">
        <v>24</v>
      </c>
      <c r="E72">
        <v>27</v>
      </c>
      <c r="F72" t="s">
        <v>25</v>
      </c>
      <c r="G72" s="27">
        <v>7633.98</v>
      </c>
      <c r="H72" s="27">
        <v>4686.79</v>
      </c>
      <c r="I72" s="27">
        <v>5046.51</v>
      </c>
      <c r="J72" s="27">
        <v>9712.44</v>
      </c>
      <c r="K72" s="27">
        <v>0.05</v>
      </c>
      <c r="L72" t="s">
        <v>19</v>
      </c>
      <c r="M72" t="s">
        <v>20</v>
      </c>
      <c r="N72" t="s">
        <v>42</v>
      </c>
      <c r="O72" t="s">
        <v>36</v>
      </c>
      <c r="P72" t="s">
        <v>40</v>
      </c>
    </row>
    <row r="73" spans="1:16" x14ac:dyDescent="0.3">
      <c r="A73">
        <v>1019</v>
      </c>
      <c r="B73" s="1">
        <v>45228</v>
      </c>
      <c r="C73" t="s">
        <v>46</v>
      </c>
      <c r="D73" t="s">
        <v>34</v>
      </c>
      <c r="E73">
        <v>31</v>
      </c>
      <c r="F73" t="s">
        <v>35</v>
      </c>
      <c r="G73" s="27">
        <v>5952.19</v>
      </c>
      <c r="H73" s="27">
        <v>333.69</v>
      </c>
      <c r="I73" s="27">
        <v>685.1</v>
      </c>
      <c r="J73" s="27">
        <v>10893.71</v>
      </c>
      <c r="K73" s="27">
        <v>0.04</v>
      </c>
      <c r="L73" t="s">
        <v>19</v>
      </c>
      <c r="M73" t="s">
        <v>27</v>
      </c>
      <c r="N73" t="s">
        <v>31</v>
      </c>
      <c r="O73" t="s">
        <v>22</v>
      </c>
      <c r="P73" t="s">
        <v>48</v>
      </c>
    </row>
    <row r="74" spans="1:16" x14ac:dyDescent="0.3">
      <c r="A74">
        <v>1089</v>
      </c>
      <c r="B74" s="1">
        <v>45237</v>
      </c>
      <c r="C74" t="s">
        <v>33</v>
      </c>
      <c r="D74" t="s">
        <v>34</v>
      </c>
      <c r="E74">
        <v>47</v>
      </c>
      <c r="F74" t="s">
        <v>30</v>
      </c>
      <c r="G74" s="27">
        <v>2945.36</v>
      </c>
      <c r="H74" s="27">
        <v>4157.62</v>
      </c>
      <c r="I74" s="27">
        <v>4314.5600000000004</v>
      </c>
      <c r="J74" s="27">
        <v>7376.18</v>
      </c>
      <c r="K74" s="27">
        <v>0.17</v>
      </c>
      <c r="L74" t="s">
        <v>19</v>
      </c>
      <c r="M74" t="s">
        <v>27</v>
      </c>
      <c r="N74" t="s">
        <v>31</v>
      </c>
      <c r="O74" t="s">
        <v>36</v>
      </c>
      <c r="P74" t="s">
        <v>37</v>
      </c>
    </row>
    <row r="75" spans="1:16" x14ac:dyDescent="0.3">
      <c r="A75">
        <v>1024</v>
      </c>
      <c r="B75" s="1">
        <v>45241</v>
      </c>
      <c r="C75" t="s">
        <v>16</v>
      </c>
      <c r="D75" t="s">
        <v>34</v>
      </c>
      <c r="E75">
        <v>21</v>
      </c>
      <c r="F75" t="s">
        <v>35</v>
      </c>
      <c r="G75" s="27">
        <v>6607.8</v>
      </c>
      <c r="H75" s="27">
        <v>622.01</v>
      </c>
      <c r="I75" s="27">
        <v>641.09</v>
      </c>
      <c r="J75" s="27">
        <v>400.68</v>
      </c>
      <c r="K75" s="27">
        <v>0</v>
      </c>
      <c r="L75" t="s">
        <v>26</v>
      </c>
      <c r="M75" t="s">
        <v>20</v>
      </c>
      <c r="N75" t="s">
        <v>31</v>
      </c>
      <c r="O75" t="s">
        <v>36</v>
      </c>
      <c r="P75" t="s">
        <v>51</v>
      </c>
    </row>
    <row r="76" spans="1:16" x14ac:dyDescent="0.3">
      <c r="A76">
        <v>1001</v>
      </c>
      <c r="B76" s="1">
        <v>45242</v>
      </c>
      <c r="C76" t="s">
        <v>39</v>
      </c>
      <c r="D76" t="s">
        <v>17</v>
      </c>
      <c r="E76">
        <v>8</v>
      </c>
      <c r="F76" t="s">
        <v>25</v>
      </c>
      <c r="G76" s="27">
        <v>715.81</v>
      </c>
      <c r="H76" s="27">
        <v>3657.91</v>
      </c>
      <c r="I76" s="27">
        <v>3729.27</v>
      </c>
      <c r="J76" s="27">
        <v>570.88</v>
      </c>
      <c r="K76" s="27">
        <v>0.09</v>
      </c>
      <c r="L76" t="s">
        <v>26</v>
      </c>
      <c r="M76" t="s">
        <v>27</v>
      </c>
      <c r="N76" t="s">
        <v>31</v>
      </c>
      <c r="O76" t="s">
        <v>36</v>
      </c>
      <c r="P76" t="s">
        <v>41</v>
      </c>
    </row>
    <row r="77" spans="1:16" x14ac:dyDescent="0.3">
      <c r="A77">
        <v>1033</v>
      </c>
      <c r="B77" s="1">
        <v>45244</v>
      </c>
      <c r="C77" t="s">
        <v>46</v>
      </c>
      <c r="D77" t="s">
        <v>29</v>
      </c>
      <c r="E77">
        <v>23</v>
      </c>
      <c r="F77" t="s">
        <v>30</v>
      </c>
      <c r="G77" s="27">
        <v>4011.8</v>
      </c>
      <c r="H77" s="27">
        <v>2981.5</v>
      </c>
      <c r="I77" s="27">
        <v>3360.4</v>
      </c>
      <c r="J77" s="27">
        <v>8714.7000000000007</v>
      </c>
      <c r="K77" s="27">
        <v>0.22</v>
      </c>
      <c r="L77" t="s">
        <v>19</v>
      </c>
      <c r="M77" t="s">
        <v>20</v>
      </c>
      <c r="N77" t="s">
        <v>31</v>
      </c>
      <c r="O77" t="s">
        <v>36</v>
      </c>
      <c r="P77" t="s">
        <v>50</v>
      </c>
    </row>
    <row r="78" spans="1:16" x14ac:dyDescent="0.3">
      <c r="A78">
        <v>1088</v>
      </c>
      <c r="B78" s="1">
        <v>45246</v>
      </c>
      <c r="C78" t="s">
        <v>16</v>
      </c>
      <c r="D78" t="s">
        <v>17</v>
      </c>
      <c r="E78">
        <v>13</v>
      </c>
      <c r="F78" t="s">
        <v>30</v>
      </c>
      <c r="G78" s="27">
        <v>8518.4500000000007</v>
      </c>
      <c r="H78" s="27">
        <v>2440.11</v>
      </c>
      <c r="I78" s="27">
        <v>2517.6</v>
      </c>
      <c r="J78" s="27">
        <v>1007.37</v>
      </c>
      <c r="K78" s="27">
        <v>0.23</v>
      </c>
      <c r="L78" t="s">
        <v>26</v>
      </c>
      <c r="M78" t="s">
        <v>27</v>
      </c>
      <c r="N78" t="s">
        <v>31</v>
      </c>
      <c r="O78" t="s">
        <v>36</v>
      </c>
      <c r="P78" t="s">
        <v>23</v>
      </c>
    </row>
    <row r="79" spans="1:16" x14ac:dyDescent="0.3">
      <c r="A79">
        <v>1090</v>
      </c>
      <c r="B79" s="1">
        <v>45250</v>
      </c>
      <c r="C79" t="s">
        <v>39</v>
      </c>
      <c r="D79" t="s">
        <v>34</v>
      </c>
      <c r="E79">
        <v>32</v>
      </c>
      <c r="F79" t="s">
        <v>25</v>
      </c>
      <c r="G79" s="27">
        <v>267.77999999999997</v>
      </c>
      <c r="H79" s="27">
        <v>2678.99</v>
      </c>
      <c r="I79" s="27">
        <v>3152.28</v>
      </c>
      <c r="J79" s="27">
        <v>15145.28</v>
      </c>
      <c r="K79" s="27">
        <v>0.22</v>
      </c>
      <c r="L79" t="s">
        <v>19</v>
      </c>
      <c r="M79" t="s">
        <v>20</v>
      </c>
      <c r="N79" t="s">
        <v>21</v>
      </c>
      <c r="O79" t="s">
        <v>36</v>
      </c>
      <c r="P79" t="s">
        <v>43</v>
      </c>
    </row>
    <row r="80" spans="1:16" x14ac:dyDescent="0.3">
      <c r="A80">
        <v>1014</v>
      </c>
      <c r="B80" s="1">
        <v>45252</v>
      </c>
      <c r="C80" t="s">
        <v>46</v>
      </c>
      <c r="D80" t="s">
        <v>34</v>
      </c>
      <c r="E80">
        <v>17</v>
      </c>
      <c r="F80" t="s">
        <v>35</v>
      </c>
      <c r="G80" s="27">
        <v>9762.5400000000009</v>
      </c>
      <c r="H80" s="27">
        <v>3184.65</v>
      </c>
      <c r="I80" s="27">
        <v>3204.01</v>
      </c>
      <c r="J80" s="27">
        <v>329.12</v>
      </c>
      <c r="K80" s="27">
        <v>0.2</v>
      </c>
      <c r="L80" t="s">
        <v>26</v>
      </c>
      <c r="M80" t="s">
        <v>27</v>
      </c>
      <c r="N80" t="s">
        <v>31</v>
      </c>
      <c r="O80" t="s">
        <v>22</v>
      </c>
      <c r="P80" t="s">
        <v>48</v>
      </c>
    </row>
    <row r="81" spans="1:16" x14ac:dyDescent="0.3">
      <c r="A81">
        <v>1065</v>
      </c>
      <c r="B81" s="1">
        <v>45254</v>
      </c>
      <c r="C81" t="s">
        <v>33</v>
      </c>
      <c r="D81" t="s">
        <v>24</v>
      </c>
      <c r="E81">
        <v>18</v>
      </c>
      <c r="F81" t="s">
        <v>35</v>
      </c>
      <c r="G81" s="27">
        <v>9183.11</v>
      </c>
      <c r="H81" s="27">
        <v>1239.0899999999999</v>
      </c>
      <c r="I81" s="27">
        <v>1273.98</v>
      </c>
      <c r="J81" s="27">
        <v>628.02</v>
      </c>
      <c r="K81" s="27">
        <v>0.02</v>
      </c>
      <c r="L81" t="s">
        <v>26</v>
      </c>
      <c r="M81" t="s">
        <v>27</v>
      </c>
      <c r="N81" t="s">
        <v>31</v>
      </c>
      <c r="O81" t="s">
        <v>36</v>
      </c>
      <c r="P81" t="s">
        <v>56</v>
      </c>
    </row>
    <row r="82" spans="1:16" x14ac:dyDescent="0.3">
      <c r="A82">
        <v>1095</v>
      </c>
      <c r="B82" s="1">
        <v>45255</v>
      </c>
      <c r="C82" t="s">
        <v>39</v>
      </c>
      <c r="D82" t="s">
        <v>24</v>
      </c>
      <c r="E82">
        <v>37</v>
      </c>
      <c r="F82" t="s">
        <v>25</v>
      </c>
      <c r="G82" s="27">
        <v>9432.9699999999993</v>
      </c>
      <c r="H82" s="27">
        <v>407.77</v>
      </c>
      <c r="I82" s="27">
        <v>860.95</v>
      </c>
      <c r="J82" s="27">
        <v>16767.66</v>
      </c>
      <c r="K82" s="27">
        <v>0.1</v>
      </c>
      <c r="L82" t="s">
        <v>19</v>
      </c>
      <c r="M82" t="s">
        <v>27</v>
      </c>
      <c r="N82" t="s">
        <v>42</v>
      </c>
      <c r="O82" t="s">
        <v>36</v>
      </c>
      <c r="P82" t="s">
        <v>40</v>
      </c>
    </row>
    <row r="83" spans="1:16" x14ac:dyDescent="0.3">
      <c r="A83">
        <v>1043</v>
      </c>
      <c r="B83" s="1">
        <v>45256</v>
      </c>
      <c r="C83" t="s">
        <v>33</v>
      </c>
      <c r="D83" t="s">
        <v>29</v>
      </c>
      <c r="E83">
        <v>3</v>
      </c>
      <c r="F83" t="s">
        <v>25</v>
      </c>
      <c r="G83" s="27">
        <v>1710.73</v>
      </c>
      <c r="H83" s="27">
        <v>2009.1</v>
      </c>
      <c r="I83" s="27">
        <v>2186.42</v>
      </c>
      <c r="J83" s="27">
        <v>531.96</v>
      </c>
      <c r="K83" s="27">
        <v>0.25</v>
      </c>
      <c r="L83" t="s">
        <v>26</v>
      </c>
      <c r="M83" t="s">
        <v>27</v>
      </c>
      <c r="N83" t="s">
        <v>31</v>
      </c>
      <c r="O83" t="s">
        <v>22</v>
      </c>
      <c r="P83" t="s">
        <v>53</v>
      </c>
    </row>
    <row r="84" spans="1:16" x14ac:dyDescent="0.3">
      <c r="A84">
        <v>1082</v>
      </c>
      <c r="B84" s="1">
        <v>45260</v>
      </c>
      <c r="C84" t="s">
        <v>39</v>
      </c>
      <c r="D84" t="s">
        <v>29</v>
      </c>
      <c r="E84">
        <v>41</v>
      </c>
      <c r="F84" t="s">
        <v>25</v>
      </c>
      <c r="G84" s="27">
        <v>6261.9</v>
      </c>
      <c r="H84" s="27">
        <v>1196.42</v>
      </c>
      <c r="I84" s="27">
        <v>1444.97</v>
      </c>
      <c r="J84" s="27">
        <v>10190.549999999999</v>
      </c>
      <c r="K84" s="27">
        <v>0.21</v>
      </c>
      <c r="L84" t="s">
        <v>19</v>
      </c>
      <c r="M84" t="s">
        <v>20</v>
      </c>
      <c r="N84" t="s">
        <v>31</v>
      </c>
      <c r="O84" t="s">
        <v>22</v>
      </c>
      <c r="P84" t="s">
        <v>54</v>
      </c>
    </row>
    <row r="85" spans="1:16" x14ac:dyDescent="0.3">
      <c r="A85">
        <v>1055</v>
      </c>
      <c r="B85" s="1">
        <v>45261</v>
      </c>
      <c r="C85" t="s">
        <v>44</v>
      </c>
      <c r="D85" t="s">
        <v>34</v>
      </c>
      <c r="E85">
        <v>8</v>
      </c>
      <c r="F85" t="s">
        <v>30</v>
      </c>
      <c r="G85" s="27">
        <v>4102.47</v>
      </c>
      <c r="H85" s="27">
        <v>3513</v>
      </c>
      <c r="I85" s="27">
        <v>3838.42</v>
      </c>
      <c r="J85" s="27">
        <v>2603.36</v>
      </c>
      <c r="K85" s="27">
        <v>0.13</v>
      </c>
      <c r="L85" t="s">
        <v>26</v>
      </c>
      <c r="M85" t="s">
        <v>20</v>
      </c>
      <c r="N85" t="s">
        <v>31</v>
      </c>
      <c r="O85" t="s">
        <v>22</v>
      </c>
      <c r="P85" t="s">
        <v>49</v>
      </c>
    </row>
    <row r="86" spans="1:16" x14ac:dyDescent="0.3">
      <c r="A86">
        <v>1031</v>
      </c>
      <c r="B86" s="1">
        <v>45268</v>
      </c>
      <c r="C86" t="s">
        <v>46</v>
      </c>
      <c r="D86" t="s">
        <v>17</v>
      </c>
      <c r="E86">
        <v>22</v>
      </c>
      <c r="F86" t="s">
        <v>35</v>
      </c>
      <c r="G86" s="27">
        <v>7567.06</v>
      </c>
      <c r="H86" s="27">
        <v>4236.05</v>
      </c>
      <c r="I86" s="27">
        <v>4382.32</v>
      </c>
      <c r="J86" s="27">
        <v>3217.94</v>
      </c>
      <c r="K86" s="27">
        <v>0.2</v>
      </c>
      <c r="L86" t="s">
        <v>26</v>
      </c>
      <c r="M86" t="s">
        <v>27</v>
      </c>
      <c r="N86" t="s">
        <v>31</v>
      </c>
      <c r="O86" t="s">
        <v>22</v>
      </c>
      <c r="P86" t="s">
        <v>55</v>
      </c>
    </row>
    <row r="87" spans="1:16" x14ac:dyDescent="0.3">
      <c r="A87">
        <v>1045</v>
      </c>
      <c r="B87" s="1">
        <v>45275</v>
      </c>
      <c r="C87" t="s">
        <v>46</v>
      </c>
      <c r="D87" t="s">
        <v>29</v>
      </c>
      <c r="E87">
        <v>42</v>
      </c>
      <c r="F87" t="s">
        <v>18</v>
      </c>
      <c r="G87" s="27">
        <v>3517.4</v>
      </c>
      <c r="H87" s="27">
        <v>3587.74</v>
      </c>
      <c r="I87" s="27">
        <v>3745.91</v>
      </c>
      <c r="J87" s="27">
        <v>6643.14</v>
      </c>
      <c r="K87" s="27">
        <v>1</v>
      </c>
      <c r="L87" t="s">
        <v>19</v>
      </c>
      <c r="M87" t="s">
        <v>20</v>
      </c>
      <c r="N87" t="s">
        <v>21</v>
      </c>
      <c r="O87" t="s">
        <v>22</v>
      </c>
      <c r="P87" t="s">
        <v>50</v>
      </c>
    </row>
    <row r="88" spans="1:16" x14ac:dyDescent="0.3">
      <c r="A88">
        <v>1060</v>
      </c>
      <c r="B88" s="1">
        <v>45276</v>
      </c>
      <c r="C88" t="s">
        <v>16</v>
      </c>
      <c r="D88" t="s">
        <v>24</v>
      </c>
      <c r="E88">
        <v>44</v>
      </c>
      <c r="F88" t="s">
        <v>18</v>
      </c>
      <c r="G88" s="27">
        <v>3224.71</v>
      </c>
      <c r="H88" s="27">
        <v>3784.96</v>
      </c>
      <c r="I88" s="27">
        <v>4276.99</v>
      </c>
      <c r="J88" s="27">
        <v>21649.32</v>
      </c>
      <c r="K88" s="27">
        <v>0.06</v>
      </c>
      <c r="L88" t="s">
        <v>19</v>
      </c>
      <c r="M88" t="s">
        <v>27</v>
      </c>
      <c r="N88" t="s">
        <v>31</v>
      </c>
      <c r="O88" t="s">
        <v>36</v>
      </c>
      <c r="P88" t="s">
        <v>28</v>
      </c>
    </row>
    <row r="89" spans="1:16" x14ac:dyDescent="0.3">
      <c r="A89">
        <v>1003</v>
      </c>
      <c r="B89" s="1">
        <v>45291</v>
      </c>
      <c r="C89" t="s">
        <v>39</v>
      </c>
      <c r="D89" t="s">
        <v>29</v>
      </c>
      <c r="E89">
        <v>37.33</v>
      </c>
      <c r="F89" t="s">
        <v>30</v>
      </c>
      <c r="G89" s="27">
        <v>4775.59</v>
      </c>
      <c r="H89" s="27">
        <v>4190.28</v>
      </c>
      <c r="I89" s="27">
        <v>4270.6499999999996</v>
      </c>
      <c r="J89" s="27">
        <v>3000</v>
      </c>
      <c r="K89" s="27">
        <v>0.2</v>
      </c>
      <c r="L89" t="s">
        <v>26</v>
      </c>
      <c r="M89" t="s">
        <v>27</v>
      </c>
      <c r="N89" t="s">
        <v>21</v>
      </c>
      <c r="O89" t="s">
        <v>22</v>
      </c>
      <c r="P89" t="s">
        <v>54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P100"/>
  <sheetViews>
    <sheetView topLeftCell="A82" workbookViewId="0">
      <selection activeCell="B98" sqref="B98"/>
    </sheetView>
  </sheetViews>
  <sheetFormatPr defaultRowHeight="14.4" x14ac:dyDescent="0.3"/>
  <cols>
    <col min="1" max="1" width="10.44140625" bestFit="1" customWidth="1"/>
    <col min="2" max="2" width="10.33203125" bestFit="1" customWidth="1"/>
    <col min="3" max="3" width="15.109375" bestFit="1" customWidth="1"/>
    <col min="4" max="4" width="6.77734375" bestFit="1" customWidth="1"/>
    <col min="5" max="5" width="13.109375" bestFit="1" customWidth="1"/>
    <col min="6" max="6" width="16.33203125" bestFit="1" customWidth="1"/>
    <col min="7" max="7" width="13.21875" style="2" bestFit="1" customWidth="1"/>
    <col min="8" max="10" width="11.88671875" style="2" bestFit="1" customWidth="1"/>
    <col min="11" max="11" width="8.33203125" style="2" bestFit="1" customWidth="1"/>
    <col min="12" max="12" width="11.33203125" bestFit="1" customWidth="1"/>
    <col min="13" max="13" width="14.33203125" bestFit="1" customWidth="1"/>
    <col min="14" max="14" width="16.44140625" bestFit="1" customWidth="1"/>
    <col min="15" max="15" width="13.21875" bestFit="1" customWidth="1"/>
    <col min="16" max="16" width="20.6640625" bestFit="1" customWidth="1"/>
  </cols>
  <sheetData>
    <row r="1" spans="1:16" x14ac:dyDescent="0.3">
      <c r="A1" s="4" t="s">
        <v>0</v>
      </c>
      <c r="B1" s="4" t="s">
        <v>1</v>
      </c>
      <c r="C1" s="4" t="s">
        <v>2</v>
      </c>
      <c r="D1" s="4" t="s">
        <v>3</v>
      </c>
      <c r="E1" s="4" t="s">
        <v>4</v>
      </c>
      <c r="F1" s="4" t="s">
        <v>5</v>
      </c>
      <c r="G1" s="5" t="s">
        <v>6</v>
      </c>
      <c r="H1" s="5" t="s">
        <v>7</v>
      </c>
      <c r="I1" s="5" t="s">
        <v>8</v>
      </c>
      <c r="J1" s="5" t="s">
        <v>9</v>
      </c>
      <c r="K1" s="5" t="s">
        <v>10</v>
      </c>
      <c r="L1" s="4" t="s">
        <v>11</v>
      </c>
      <c r="M1" s="4" t="s">
        <v>12</v>
      </c>
      <c r="N1" s="4" t="s">
        <v>13</v>
      </c>
      <c r="O1" s="4" t="s">
        <v>14</v>
      </c>
      <c r="P1" s="4" t="s">
        <v>15</v>
      </c>
    </row>
    <row r="2" spans="1:16" x14ac:dyDescent="0.3">
      <c r="A2">
        <v>1008</v>
      </c>
      <c r="B2" s="1">
        <v>44927</v>
      </c>
      <c r="C2" t="s">
        <v>16</v>
      </c>
      <c r="D2" t="s">
        <v>17</v>
      </c>
      <c r="E2">
        <v>38</v>
      </c>
      <c r="F2" t="s">
        <v>18</v>
      </c>
      <c r="G2" s="2">
        <v>5227.8100000000004</v>
      </c>
      <c r="H2" s="2">
        <v>4635.2299999999996</v>
      </c>
      <c r="I2" s="2">
        <v>5075.4399999999996</v>
      </c>
      <c r="J2" s="2">
        <v>16727.98</v>
      </c>
      <c r="K2" s="2">
        <v>0.05</v>
      </c>
      <c r="L2" t="str">
        <f>IF(G2:G89&gt;=5000, "High Profit","Low Profit")</f>
        <v>High Profit</v>
      </c>
      <c r="M2" t="s">
        <v>20</v>
      </c>
      <c r="N2" t="s">
        <v>21</v>
      </c>
      <c r="O2" t="s">
        <v>22</v>
      </c>
      <c r="P2" t="s">
        <v>23</v>
      </c>
    </row>
    <row r="3" spans="1:16" x14ac:dyDescent="0.3">
      <c r="A3">
        <v>1064</v>
      </c>
      <c r="B3" s="1">
        <v>44930</v>
      </c>
      <c r="C3" t="s">
        <v>16</v>
      </c>
      <c r="D3" t="s">
        <v>24</v>
      </c>
      <c r="E3">
        <v>10</v>
      </c>
      <c r="F3" t="s">
        <v>25</v>
      </c>
      <c r="G3" s="2">
        <v>7412.11</v>
      </c>
      <c r="H3" s="2">
        <v>4764.96</v>
      </c>
      <c r="I3" s="2">
        <v>5074.42</v>
      </c>
      <c r="J3" s="2">
        <v>3094.6</v>
      </c>
      <c r="K3" s="2">
        <v>0.12</v>
      </c>
      <c r="L3" t="s">
        <v>26</v>
      </c>
      <c r="M3" t="s">
        <v>27</v>
      </c>
      <c r="N3" t="s">
        <v>21</v>
      </c>
      <c r="O3" t="s">
        <v>22</v>
      </c>
      <c r="P3" t="s">
        <v>28</v>
      </c>
    </row>
    <row r="4" spans="1:16" x14ac:dyDescent="0.3">
      <c r="A4">
        <v>1087</v>
      </c>
      <c r="B4" s="1">
        <v>44932</v>
      </c>
      <c r="C4" t="s">
        <v>16</v>
      </c>
      <c r="D4" t="s">
        <v>29</v>
      </c>
      <c r="E4">
        <v>46</v>
      </c>
      <c r="F4" t="s">
        <v>30</v>
      </c>
      <c r="G4" s="2">
        <v>7698.92</v>
      </c>
      <c r="H4" s="2">
        <v>3702.51</v>
      </c>
      <c r="I4" s="2">
        <v>3964.65</v>
      </c>
      <c r="J4" s="2">
        <v>12058.44</v>
      </c>
      <c r="K4" s="2">
        <v>0.12</v>
      </c>
      <c r="L4" t="s">
        <v>19</v>
      </c>
      <c r="M4" t="s">
        <v>27</v>
      </c>
      <c r="N4" t="s">
        <v>31</v>
      </c>
      <c r="O4" t="s">
        <v>22</v>
      </c>
      <c r="P4" t="s">
        <v>32</v>
      </c>
    </row>
    <row r="5" spans="1:16" x14ac:dyDescent="0.3">
      <c r="A5">
        <v>1094</v>
      </c>
      <c r="B5" s="1">
        <v>44936</v>
      </c>
      <c r="C5" t="s">
        <v>16</v>
      </c>
      <c r="D5" t="s">
        <v>17</v>
      </c>
      <c r="E5">
        <v>25</v>
      </c>
      <c r="F5" t="s">
        <v>25</v>
      </c>
      <c r="G5" s="2">
        <v>2548.67</v>
      </c>
      <c r="H5" s="2">
        <v>1933.39</v>
      </c>
      <c r="I5" s="2">
        <v>1982.92</v>
      </c>
      <c r="J5" s="2">
        <v>1238.25</v>
      </c>
      <c r="K5" s="2">
        <v>0.17</v>
      </c>
      <c r="L5" t="s">
        <v>26</v>
      </c>
      <c r="M5" t="s">
        <v>27</v>
      </c>
      <c r="N5" t="s">
        <v>31</v>
      </c>
      <c r="O5" t="s">
        <v>22</v>
      </c>
      <c r="P5" t="s">
        <v>23</v>
      </c>
    </row>
    <row r="6" spans="1:16" x14ac:dyDescent="0.3">
      <c r="A6">
        <v>1027</v>
      </c>
      <c r="B6" s="1">
        <v>44941</v>
      </c>
      <c r="C6" t="s">
        <v>33</v>
      </c>
      <c r="D6" t="s">
        <v>34</v>
      </c>
      <c r="E6">
        <v>26</v>
      </c>
      <c r="F6" t="s">
        <v>35</v>
      </c>
      <c r="G6" s="2">
        <v>6261.2</v>
      </c>
      <c r="H6" s="2">
        <v>149.11000000000001</v>
      </c>
      <c r="I6" s="2">
        <v>477.67</v>
      </c>
      <c r="J6" s="2">
        <v>8542.56</v>
      </c>
      <c r="K6" s="2">
        <v>0.14000000000000001</v>
      </c>
      <c r="L6" t="s">
        <v>19</v>
      </c>
      <c r="M6" t="s">
        <v>20</v>
      </c>
      <c r="N6" t="s">
        <v>21</v>
      </c>
      <c r="O6" t="s">
        <v>36</v>
      </c>
      <c r="P6" t="s">
        <v>37</v>
      </c>
    </row>
    <row r="7" spans="1:16" x14ac:dyDescent="0.3">
      <c r="A7">
        <v>1046</v>
      </c>
      <c r="B7" s="1">
        <v>44946</v>
      </c>
      <c r="C7" t="s">
        <v>16</v>
      </c>
      <c r="D7" t="s">
        <v>24</v>
      </c>
      <c r="E7">
        <v>43</v>
      </c>
      <c r="F7" t="s">
        <v>18</v>
      </c>
      <c r="G7" s="2">
        <v>4104.82</v>
      </c>
      <c r="H7" s="2">
        <v>4052.42</v>
      </c>
      <c r="I7" s="2">
        <v>4199.3</v>
      </c>
      <c r="J7" s="2">
        <v>6315.84</v>
      </c>
      <c r="K7" s="2">
        <v>0.1</v>
      </c>
      <c r="L7" t="s">
        <v>19</v>
      </c>
      <c r="M7" t="s">
        <v>27</v>
      </c>
      <c r="N7" t="s">
        <v>31</v>
      </c>
      <c r="O7" t="s">
        <v>36</v>
      </c>
      <c r="P7" t="s">
        <v>28</v>
      </c>
    </row>
    <row r="8" spans="1:16" x14ac:dyDescent="0.3">
      <c r="A8">
        <v>1037</v>
      </c>
      <c r="B8" s="1">
        <v>44949</v>
      </c>
      <c r="C8" t="s">
        <v>33</v>
      </c>
      <c r="D8" t="s">
        <v>17</v>
      </c>
      <c r="E8">
        <v>40</v>
      </c>
      <c r="F8" t="s">
        <v>18</v>
      </c>
      <c r="G8" s="2">
        <v>9813.81</v>
      </c>
      <c r="H8" s="2">
        <v>2790.11</v>
      </c>
      <c r="I8" s="2">
        <v>3192.37</v>
      </c>
      <c r="J8" s="2">
        <v>16090.4</v>
      </c>
      <c r="K8" s="2">
        <v>0.26</v>
      </c>
      <c r="L8" t="s">
        <v>19</v>
      </c>
      <c r="M8" t="s">
        <v>20</v>
      </c>
      <c r="N8" t="s">
        <v>31</v>
      </c>
      <c r="O8" t="s">
        <v>22</v>
      </c>
      <c r="P8" t="s">
        <v>38</v>
      </c>
    </row>
    <row r="9" spans="1:16" x14ac:dyDescent="0.3">
      <c r="A9">
        <v>1018</v>
      </c>
      <c r="B9" s="1">
        <v>44952</v>
      </c>
      <c r="C9" t="s">
        <v>39</v>
      </c>
      <c r="D9" t="s">
        <v>24</v>
      </c>
      <c r="E9">
        <v>11</v>
      </c>
      <c r="F9" t="s">
        <v>18</v>
      </c>
      <c r="G9" s="2">
        <v>3187.45</v>
      </c>
      <c r="H9" s="2">
        <v>2414.8200000000002</v>
      </c>
      <c r="I9" s="2">
        <v>2519.0700000000002</v>
      </c>
      <c r="J9" s="2">
        <v>1146.75</v>
      </c>
      <c r="K9" s="2">
        <v>0</v>
      </c>
      <c r="L9" t="s">
        <v>26</v>
      </c>
      <c r="M9" t="s">
        <v>20</v>
      </c>
      <c r="N9" t="s">
        <v>21</v>
      </c>
      <c r="O9" t="s">
        <v>22</v>
      </c>
      <c r="P9" t="s">
        <v>40</v>
      </c>
    </row>
    <row r="10" spans="1:16" x14ac:dyDescent="0.3">
      <c r="A10">
        <v>1042</v>
      </c>
      <c r="B10" s="1">
        <v>44957</v>
      </c>
      <c r="C10" t="s">
        <v>39</v>
      </c>
      <c r="D10" t="s">
        <v>17</v>
      </c>
      <c r="E10">
        <v>11</v>
      </c>
      <c r="F10" t="s">
        <v>35</v>
      </c>
      <c r="G10" s="2">
        <v>5207.03</v>
      </c>
      <c r="H10" s="2">
        <v>635.20000000000005</v>
      </c>
      <c r="I10" s="2">
        <v>814.14</v>
      </c>
      <c r="J10" s="2">
        <v>1968.34</v>
      </c>
      <c r="K10" s="2">
        <v>0.02</v>
      </c>
      <c r="L10" t="s">
        <v>26</v>
      </c>
      <c r="M10" t="s">
        <v>20</v>
      </c>
      <c r="N10" t="s">
        <v>21</v>
      </c>
      <c r="O10" t="s">
        <v>22</v>
      </c>
      <c r="P10" t="s">
        <v>41</v>
      </c>
    </row>
    <row r="11" spans="1:16" x14ac:dyDescent="0.3">
      <c r="A11">
        <v>1052</v>
      </c>
      <c r="B11" s="1">
        <v>44960</v>
      </c>
      <c r="C11" t="s">
        <v>33</v>
      </c>
      <c r="D11" t="s">
        <v>17</v>
      </c>
      <c r="E11">
        <v>18</v>
      </c>
      <c r="F11" t="s">
        <v>30</v>
      </c>
      <c r="G11" s="2">
        <v>5053.97</v>
      </c>
      <c r="H11" s="2">
        <v>152.75</v>
      </c>
      <c r="I11" s="2">
        <v>267.22000000000003</v>
      </c>
      <c r="J11" s="2">
        <v>2060.46</v>
      </c>
      <c r="K11" s="2">
        <v>0.09</v>
      </c>
      <c r="L11" t="s">
        <v>26</v>
      </c>
      <c r="M11" t="s">
        <v>20</v>
      </c>
      <c r="N11" t="s">
        <v>21</v>
      </c>
      <c r="O11" t="s">
        <v>22</v>
      </c>
      <c r="P11" t="s">
        <v>38</v>
      </c>
    </row>
    <row r="12" spans="1:16" x14ac:dyDescent="0.3">
      <c r="A12">
        <v>1026</v>
      </c>
      <c r="B12" s="1">
        <v>44961</v>
      </c>
      <c r="C12" t="s">
        <v>39</v>
      </c>
      <c r="D12" t="s">
        <v>34</v>
      </c>
      <c r="E12">
        <v>19</v>
      </c>
      <c r="F12" t="s">
        <v>25</v>
      </c>
      <c r="G12" s="2">
        <v>1554.93</v>
      </c>
      <c r="H12" s="2">
        <v>1265.48</v>
      </c>
      <c r="I12" s="2">
        <v>1715.83</v>
      </c>
      <c r="J12" s="2">
        <v>8556.65</v>
      </c>
      <c r="K12" s="2">
        <v>0.05</v>
      </c>
      <c r="L12" t="s">
        <v>19</v>
      </c>
      <c r="M12" t="s">
        <v>27</v>
      </c>
      <c r="N12" t="s">
        <v>42</v>
      </c>
      <c r="O12" t="s">
        <v>36</v>
      </c>
      <c r="P12" t="s">
        <v>43</v>
      </c>
    </row>
    <row r="13" spans="1:16" x14ac:dyDescent="0.3">
      <c r="A13">
        <v>1080</v>
      </c>
      <c r="B13" s="1">
        <v>44962</v>
      </c>
      <c r="C13" t="s">
        <v>44</v>
      </c>
      <c r="D13" t="s">
        <v>29</v>
      </c>
      <c r="E13">
        <v>9</v>
      </c>
      <c r="F13" t="s">
        <v>25</v>
      </c>
      <c r="G13" s="2">
        <v>245.46</v>
      </c>
      <c r="H13" s="2">
        <v>1141.52</v>
      </c>
      <c r="I13" s="2">
        <v>1550.19</v>
      </c>
      <c r="J13" s="2">
        <v>3678.03</v>
      </c>
      <c r="K13" s="2">
        <v>0.28000000000000003</v>
      </c>
      <c r="L13" t="s">
        <v>26</v>
      </c>
      <c r="M13" t="s">
        <v>27</v>
      </c>
      <c r="N13" t="s">
        <v>42</v>
      </c>
      <c r="O13" t="s">
        <v>36</v>
      </c>
      <c r="P13" t="s">
        <v>45</v>
      </c>
    </row>
    <row r="14" spans="1:16" x14ac:dyDescent="0.3">
      <c r="A14">
        <v>1081</v>
      </c>
      <c r="B14" s="1">
        <v>44964</v>
      </c>
      <c r="C14" t="s">
        <v>46</v>
      </c>
      <c r="D14" t="s">
        <v>24</v>
      </c>
      <c r="E14">
        <v>41</v>
      </c>
      <c r="F14" t="s">
        <v>30</v>
      </c>
      <c r="G14" s="2">
        <v>3068.03</v>
      </c>
      <c r="H14" s="2">
        <v>2782.08</v>
      </c>
      <c r="I14" s="2">
        <v>2879.24</v>
      </c>
      <c r="J14" s="2">
        <v>3983.56</v>
      </c>
      <c r="K14" s="2">
        <v>0.21</v>
      </c>
      <c r="L14" t="s">
        <v>26</v>
      </c>
      <c r="M14" t="s">
        <v>27</v>
      </c>
      <c r="N14" t="s">
        <v>31</v>
      </c>
      <c r="O14" t="s">
        <v>22</v>
      </c>
      <c r="P14" t="s">
        <v>47</v>
      </c>
    </row>
    <row r="15" spans="1:16" x14ac:dyDescent="0.3">
      <c r="A15">
        <v>1092</v>
      </c>
      <c r="B15" s="1">
        <v>44966</v>
      </c>
      <c r="C15" t="s">
        <v>46</v>
      </c>
      <c r="D15" t="s">
        <v>34</v>
      </c>
      <c r="E15">
        <v>34</v>
      </c>
      <c r="F15" t="s">
        <v>30</v>
      </c>
      <c r="G15" s="2">
        <v>2749.17</v>
      </c>
      <c r="H15" s="2">
        <v>2037.41</v>
      </c>
      <c r="I15" s="2">
        <v>2238.65</v>
      </c>
      <c r="J15" s="2">
        <v>6842.16</v>
      </c>
      <c r="K15" s="2">
        <v>0.3</v>
      </c>
      <c r="L15" t="s">
        <v>19</v>
      </c>
      <c r="M15" t="s">
        <v>27</v>
      </c>
      <c r="N15" t="s">
        <v>42</v>
      </c>
      <c r="O15" t="s">
        <v>22</v>
      </c>
      <c r="P15" t="s">
        <v>48</v>
      </c>
    </row>
    <row r="16" spans="1:16" x14ac:dyDescent="0.3">
      <c r="A16">
        <v>1021</v>
      </c>
      <c r="B16" s="1">
        <v>44968</v>
      </c>
      <c r="C16" t="s">
        <v>44</v>
      </c>
      <c r="D16" t="s">
        <v>34</v>
      </c>
      <c r="E16">
        <v>32</v>
      </c>
      <c r="F16" t="s">
        <v>35</v>
      </c>
      <c r="G16" s="2">
        <v>3761.15</v>
      </c>
      <c r="H16" s="2">
        <v>900.79</v>
      </c>
      <c r="I16" s="2">
        <v>1106.51</v>
      </c>
      <c r="J16" s="2">
        <v>6583.04</v>
      </c>
      <c r="K16" s="2">
        <v>0.21</v>
      </c>
      <c r="L16" t="s">
        <v>19</v>
      </c>
      <c r="M16" t="s">
        <v>27</v>
      </c>
      <c r="N16" t="s">
        <v>21</v>
      </c>
      <c r="O16" t="s">
        <v>22</v>
      </c>
      <c r="P16" t="s">
        <v>49</v>
      </c>
    </row>
    <row r="17" spans="1:16" x14ac:dyDescent="0.3">
      <c r="A17">
        <v>1044</v>
      </c>
      <c r="B17" s="1">
        <v>44973</v>
      </c>
      <c r="C17" t="s">
        <v>46</v>
      </c>
      <c r="D17" t="s">
        <v>29</v>
      </c>
      <c r="E17">
        <v>22</v>
      </c>
      <c r="F17" t="s">
        <v>35</v>
      </c>
      <c r="G17" s="2">
        <v>7754.1</v>
      </c>
      <c r="H17" s="2">
        <v>3373.46</v>
      </c>
      <c r="I17" s="2">
        <v>3454.76</v>
      </c>
      <c r="J17" s="2">
        <v>1788.6</v>
      </c>
      <c r="K17" s="2">
        <v>0.22</v>
      </c>
      <c r="L17" t="s">
        <v>26</v>
      </c>
      <c r="M17" t="s">
        <v>20</v>
      </c>
      <c r="N17" t="s">
        <v>31</v>
      </c>
      <c r="O17" t="s">
        <v>36</v>
      </c>
      <c r="P17" t="s">
        <v>50</v>
      </c>
    </row>
    <row r="18" spans="1:16" x14ac:dyDescent="0.3">
      <c r="A18">
        <v>1068</v>
      </c>
      <c r="B18" s="1">
        <v>44981</v>
      </c>
      <c r="C18" t="s">
        <v>33</v>
      </c>
      <c r="D18" t="s">
        <v>17</v>
      </c>
      <c r="E18">
        <v>22</v>
      </c>
      <c r="F18" t="s">
        <v>18</v>
      </c>
      <c r="G18" s="2">
        <v>5118.51</v>
      </c>
      <c r="H18" s="2">
        <v>3619.61</v>
      </c>
      <c r="I18" s="2">
        <v>3651.42</v>
      </c>
      <c r="J18" s="2">
        <v>699.82</v>
      </c>
      <c r="K18" s="2">
        <v>0.26</v>
      </c>
      <c r="L18" t="s">
        <v>26</v>
      </c>
      <c r="M18" t="s">
        <v>20</v>
      </c>
      <c r="N18" t="s">
        <v>31</v>
      </c>
      <c r="O18" t="s">
        <v>22</v>
      </c>
      <c r="P18" t="s">
        <v>38</v>
      </c>
    </row>
    <row r="19" spans="1:16" x14ac:dyDescent="0.3">
      <c r="A19">
        <v>1029</v>
      </c>
      <c r="B19" s="1">
        <v>44986</v>
      </c>
      <c r="C19" t="s">
        <v>46</v>
      </c>
      <c r="D19" t="s">
        <v>24</v>
      </c>
      <c r="E19">
        <v>28</v>
      </c>
      <c r="F19" t="s">
        <v>18</v>
      </c>
      <c r="G19" s="2">
        <v>6773.89</v>
      </c>
      <c r="H19" s="2">
        <v>2873.53</v>
      </c>
      <c r="I19" s="2">
        <v>3108.3</v>
      </c>
      <c r="J19" s="2">
        <v>6573.56</v>
      </c>
      <c r="K19" s="2">
        <v>0.15</v>
      </c>
      <c r="L19" t="s">
        <v>19</v>
      </c>
      <c r="M19" t="s">
        <v>27</v>
      </c>
      <c r="N19" t="s">
        <v>42</v>
      </c>
      <c r="O19" t="s">
        <v>36</v>
      </c>
      <c r="P19" t="s">
        <v>47</v>
      </c>
    </row>
    <row r="20" spans="1:16" x14ac:dyDescent="0.3">
      <c r="A20">
        <v>1007</v>
      </c>
      <c r="B20" s="1">
        <v>44988</v>
      </c>
      <c r="C20" t="s">
        <v>16</v>
      </c>
      <c r="D20" t="s">
        <v>34</v>
      </c>
      <c r="E20">
        <v>1</v>
      </c>
      <c r="F20" t="s">
        <v>35</v>
      </c>
      <c r="G20" s="2">
        <v>4694.54</v>
      </c>
      <c r="H20" s="2">
        <v>2543.2600000000002</v>
      </c>
      <c r="I20" s="2">
        <v>2637.91</v>
      </c>
      <c r="J20" s="2">
        <v>94.65</v>
      </c>
      <c r="K20" s="2">
        <v>0.2</v>
      </c>
      <c r="L20" t="s">
        <v>26</v>
      </c>
      <c r="M20" t="s">
        <v>20</v>
      </c>
      <c r="N20" t="s">
        <v>42</v>
      </c>
      <c r="O20" t="s">
        <v>22</v>
      </c>
      <c r="P20" t="s">
        <v>51</v>
      </c>
    </row>
    <row r="21" spans="1:16" x14ac:dyDescent="0.3">
      <c r="A21">
        <v>1099</v>
      </c>
      <c r="B21" s="1">
        <v>44989</v>
      </c>
      <c r="C21" t="s">
        <v>46</v>
      </c>
      <c r="D21" t="s">
        <v>24</v>
      </c>
      <c r="E21">
        <v>10</v>
      </c>
      <c r="F21" t="s">
        <v>30</v>
      </c>
      <c r="G21" s="2">
        <v>7952.11</v>
      </c>
      <c r="H21" s="2">
        <v>1531.2</v>
      </c>
      <c r="I21" s="2">
        <v>1955.56</v>
      </c>
      <c r="J21" s="2">
        <v>4243.6000000000004</v>
      </c>
      <c r="K21" s="2">
        <v>0</v>
      </c>
      <c r="L21" t="s">
        <v>26</v>
      </c>
      <c r="M21" t="s">
        <v>27</v>
      </c>
      <c r="N21" t="s">
        <v>42</v>
      </c>
      <c r="O21" t="s">
        <v>22</v>
      </c>
      <c r="P21" t="s">
        <v>47</v>
      </c>
    </row>
    <row r="22" spans="1:16" x14ac:dyDescent="0.3">
      <c r="A22">
        <v>1040</v>
      </c>
      <c r="B22" s="1">
        <v>44995</v>
      </c>
      <c r="C22" t="s">
        <v>44</v>
      </c>
      <c r="D22" t="s">
        <v>24</v>
      </c>
      <c r="E22">
        <v>13</v>
      </c>
      <c r="F22" t="s">
        <v>18</v>
      </c>
      <c r="G22" s="2">
        <v>2331.27</v>
      </c>
      <c r="H22" s="2">
        <v>2750.18</v>
      </c>
      <c r="I22" s="2">
        <v>2882.85</v>
      </c>
      <c r="J22" s="2">
        <v>1724.71</v>
      </c>
      <c r="K22" s="2">
        <v>0.24</v>
      </c>
      <c r="L22" t="s">
        <v>26</v>
      </c>
      <c r="M22" t="s">
        <v>20</v>
      </c>
      <c r="N22" t="s">
        <v>42</v>
      </c>
      <c r="O22" t="s">
        <v>22</v>
      </c>
      <c r="P22" t="s">
        <v>52</v>
      </c>
    </row>
    <row r="23" spans="1:16" x14ac:dyDescent="0.3">
      <c r="A23">
        <v>1038</v>
      </c>
      <c r="B23" s="1">
        <v>44996</v>
      </c>
      <c r="C23" t="s">
        <v>33</v>
      </c>
      <c r="D23" t="s">
        <v>29</v>
      </c>
      <c r="E23">
        <v>15</v>
      </c>
      <c r="F23" t="s">
        <v>18</v>
      </c>
      <c r="G23" s="2">
        <v>1452.35</v>
      </c>
      <c r="H23" s="2">
        <v>2543.36</v>
      </c>
      <c r="I23" s="2">
        <v>2790.1</v>
      </c>
      <c r="J23" s="2">
        <v>3701.1</v>
      </c>
      <c r="K23" s="2">
        <v>7.0000000000000007E-2</v>
      </c>
      <c r="L23" t="s">
        <v>26</v>
      </c>
      <c r="M23" t="s">
        <v>20</v>
      </c>
      <c r="N23" t="s">
        <v>21</v>
      </c>
      <c r="O23" t="s">
        <v>22</v>
      </c>
      <c r="P23" t="s">
        <v>53</v>
      </c>
    </row>
    <row r="24" spans="1:16" x14ac:dyDescent="0.3">
      <c r="A24">
        <v>1061</v>
      </c>
      <c r="B24" s="1">
        <v>45009</v>
      </c>
      <c r="C24" t="s">
        <v>44</v>
      </c>
      <c r="D24" t="s">
        <v>24</v>
      </c>
      <c r="E24">
        <v>13</v>
      </c>
      <c r="F24" t="s">
        <v>25</v>
      </c>
      <c r="G24" s="2">
        <v>3750.2</v>
      </c>
      <c r="H24" s="2">
        <v>637.37</v>
      </c>
      <c r="I24" s="2">
        <v>692.71</v>
      </c>
      <c r="J24" s="2">
        <v>719.42</v>
      </c>
      <c r="K24" s="2">
        <v>0.08</v>
      </c>
      <c r="L24" t="s">
        <v>26</v>
      </c>
      <c r="M24" t="s">
        <v>27</v>
      </c>
      <c r="N24" t="s">
        <v>42</v>
      </c>
      <c r="O24" t="s">
        <v>22</v>
      </c>
      <c r="P24" t="s">
        <v>52</v>
      </c>
    </row>
    <row r="25" spans="1:16" x14ac:dyDescent="0.3">
      <c r="A25">
        <v>1074</v>
      </c>
      <c r="B25" s="1">
        <v>45010</v>
      </c>
      <c r="C25" t="s">
        <v>16</v>
      </c>
      <c r="D25" t="s">
        <v>34</v>
      </c>
      <c r="E25">
        <v>38</v>
      </c>
      <c r="F25" t="s">
        <v>35</v>
      </c>
      <c r="G25" s="2">
        <v>7499.7</v>
      </c>
      <c r="H25" s="2">
        <v>2610.6</v>
      </c>
      <c r="I25" s="2">
        <v>2836.94</v>
      </c>
      <c r="J25" s="2">
        <v>8600.92</v>
      </c>
      <c r="K25" s="2">
        <v>0.19</v>
      </c>
      <c r="L25" t="s">
        <v>19</v>
      </c>
      <c r="M25" t="s">
        <v>20</v>
      </c>
      <c r="N25" t="s">
        <v>42</v>
      </c>
      <c r="O25" t="s">
        <v>22</v>
      </c>
      <c r="P25" t="s">
        <v>51</v>
      </c>
    </row>
    <row r="26" spans="1:16" x14ac:dyDescent="0.3">
      <c r="A26">
        <v>1005</v>
      </c>
      <c r="B26" s="1">
        <v>45015</v>
      </c>
      <c r="C26" t="s">
        <v>39</v>
      </c>
      <c r="D26" t="s">
        <v>24</v>
      </c>
      <c r="E26">
        <v>12</v>
      </c>
      <c r="F26" t="s">
        <v>25</v>
      </c>
      <c r="G26" s="2">
        <v>6828.24</v>
      </c>
      <c r="H26" s="2">
        <v>319.83</v>
      </c>
      <c r="I26" s="2">
        <v>802.43</v>
      </c>
      <c r="J26" s="2">
        <v>5791.2</v>
      </c>
      <c r="K26" s="2">
        <v>0.04</v>
      </c>
      <c r="L26" t="s">
        <v>19</v>
      </c>
      <c r="M26" t="s">
        <v>27</v>
      </c>
      <c r="N26" t="s">
        <v>42</v>
      </c>
      <c r="O26" t="s">
        <v>36</v>
      </c>
      <c r="P26" t="s">
        <v>40</v>
      </c>
    </row>
    <row r="27" spans="1:16" x14ac:dyDescent="0.3">
      <c r="A27">
        <v>1016</v>
      </c>
      <c r="B27" s="1">
        <v>45016</v>
      </c>
      <c r="C27" t="s">
        <v>16</v>
      </c>
      <c r="D27" t="s">
        <v>24</v>
      </c>
      <c r="E27">
        <v>38</v>
      </c>
      <c r="F27" t="s">
        <v>25</v>
      </c>
      <c r="G27" s="2">
        <v>4309.76</v>
      </c>
      <c r="H27" s="2">
        <v>3883.38</v>
      </c>
      <c r="I27" s="2">
        <v>4152.72</v>
      </c>
      <c r="J27" s="2">
        <v>10234.92</v>
      </c>
      <c r="K27" s="2">
        <v>0.26</v>
      </c>
      <c r="L27" t="s">
        <v>19</v>
      </c>
      <c r="M27" t="s">
        <v>20</v>
      </c>
      <c r="N27" t="s">
        <v>21</v>
      </c>
      <c r="O27" t="s">
        <v>22</v>
      </c>
      <c r="P27" t="s">
        <v>28</v>
      </c>
    </row>
    <row r="28" spans="1:16" x14ac:dyDescent="0.3">
      <c r="A28">
        <v>1058</v>
      </c>
      <c r="B28" s="1">
        <v>45021</v>
      </c>
      <c r="C28" t="s">
        <v>39</v>
      </c>
      <c r="D28" t="s">
        <v>17</v>
      </c>
      <c r="E28">
        <v>33</v>
      </c>
      <c r="F28" t="s">
        <v>30</v>
      </c>
      <c r="G28" s="2">
        <v>2072.23</v>
      </c>
      <c r="H28" s="2">
        <v>1011.65</v>
      </c>
      <c r="I28" s="2">
        <v>1084.28</v>
      </c>
      <c r="J28" s="2">
        <v>2396.79</v>
      </c>
      <c r="K28" s="2">
        <v>7.0000000000000007E-2</v>
      </c>
      <c r="L28" t="s">
        <v>26</v>
      </c>
      <c r="M28" t="s">
        <v>20</v>
      </c>
      <c r="N28" t="s">
        <v>31</v>
      </c>
      <c r="O28" t="s">
        <v>36</v>
      </c>
      <c r="P28" t="s">
        <v>41</v>
      </c>
    </row>
    <row r="29" spans="1:16" x14ac:dyDescent="0.3">
      <c r="A29">
        <v>1083</v>
      </c>
      <c r="B29" s="1">
        <v>45027</v>
      </c>
      <c r="C29" t="s">
        <v>33</v>
      </c>
      <c r="D29" t="s">
        <v>34</v>
      </c>
      <c r="E29">
        <v>29</v>
      </c>
      <c r="F29" t="s">
        <v>30</v>
      </c>
      <c r="G29" s="2">
        <v>618.30999999999995</v>
      </c>
      <c r="H29" s="2">
        <v>2408.81</v>
      </c>
      <c r="I29" s="2">
        <v>2624.09</v>
      </c>
      <c r="J29" s="2">
        <v>6243.12</v>
      </c>
      <c r="K29" s="2">
        <v>0.14000000000000001</v>
      </c>
      <c r="L29" t="s">
        <v>19</v>
      </c>
      <c r="M29" t="s">
        <v>20</v>
      </c>
      <c r="N29" t="s">
        <v>21</v>
      </c>
      <c r="O29" t="s">
        <v>22</v>
      </c>
      <c r="P29" t="s">
        <v>37</v>
      </c>
    </row>
    <row r="30" spans="1:16" x14ac:dyDescent="0.3">
      <c r="A30">
        <v>1093</v>
      </c>
      <c r="B30" s="1">
        <v>45037</v>
      </c>
      <c r="C30" t="s">
        <v>33</v>
      </c>
      <c r="D30" t="s">
        <v>34</v>
      </c>
      <c r="E30">
        <v>17</v>
      </c>
      <c r="F30" t="s">
        <v>30</v>
      </c>
      <c r="G30" s="2">
        <v>4384.0200000000004</v>
      </c>
      <c r="H30" s="2">
        <v>3816.39</v>
      </c>
      <c r="I30" s="2">
        <v>4209.4399999999996</v>
      </c>
      <c r="J30" s="2">
        <v>6681.85</v>
      </c>
      <c r="K30" s="2">
        <v>0.11</v>
      </c>
      <c r="L30" t="s">
        <v>19</v>
      </c>
      <c r="M30" t="s">
        <v>20</v>
      </c>
      <c r="N30" t="s">
        <v>21</v>
      </c>
      <c r="O30" t="s">
        <v>36</v>
      </c>
      <c r="P30" t="s">
        <v>37</v>
      </c>
    </row>
    <row r="31" spans="1:16" x14ac:dyDescent="0.3">
      <c r="A31">
        <v>1009</v>
      </c>
      <c r="B31" s="1">
        <v>45044</v>
      </c>
      <c r="C31" t="s">
        <v>39</v>
      </c>
      <c r="D31" t="s">
        <v>17</v>
      </c>
      <c r="E31">
        <v>33</v>
      </c>
      <c r="F31" t="s">
        <v>18</v>
      </c>
      <c r="G31" s="2">
        <v>1342.95</v>
      </c>
      <c r="H31" s="2">
        <v>2278.9</v>
      </c>
      <c r="I31" s="2">
        <v>2626.9</v>
      </c>
      <c r="J31" s="2">
        <v>11484</v>
      </c>
      <c r="K31" s="2">
        <v>0.05</v>
      </c>
      <c r="L31" t="s">
        <v>19</v>
      </c>
      <c r="M31" t="s">
        <v>27</v>
      </c>
      <c r="N31" t="s">
        <v>42</v>
      </c>
      <c r="O31" t="s">
        <v>22</v>
      </c>
      <c r="P31" t="s">
        <v>41</v>
      </c>
    </row>
    <row r="32" spans="1:16" x14ac:dyDescent="0.3">
      <c r="A32">
        <v>1056</v>
      </c>
      <c r="B32" s="1">
        <v>45053</v>
      </c>
      <c r="C32" t="s">
        <v>46</v>
      </c>
      <c r="D32" t="s">
        <v>24</v>
      </c>
      <c r="E32">
        <v>28</v>
      </c>
      <c r="F32" t="s">
        <v>18</v>
      </c>
      <c r="G32" s="2">
        <v>7611.88</v>
      </c>
      <c r="H32" s="2">
        <v>1566.03</v>
      </c>
      <c r="I32" s="2">
        <v>1576.34</v>
      </c>
      <c r="J32" s="2">
        <v>288.68</v>
      </c>
      <c r="K32" s="2">
        <v>0.2</v>
      </c>
      <c r="L32" t="s">
        <v>26</v>
      </c>
      <c r="M32" t="s">
        <v>20</v>
      </c>
      <c r="N32" t="s">
        <v>31</v>
      </c>
      <c r="O32" t="s">
        <v>22</v>
      </c>
      <c r="P32" t="s">
        <v>47</v>
      </c>
    </row>
    <row r="33" spans="1:16" x14ac:dyDescent="0.3">
      <c r="A33">
        <v>1034</v>
      </c>
      <c r="B33" s="1">
        <v>45056</v>
      </c>
      <c r="C33" t="s">
        <v>16</v>
      </c>
      <c r="D33" t="s">
        <v>24</v>
      </c>
      <c r="E33">
        <v>19</v>
      </c>
      <c r="F33" t="s">
        <v>18</v>
      </c>
      <c r="G33" s="2">
        <v>4892.3599999999997</v>
      </c>
      <c r="H33" s="2">
        <v>1922.21</v>
      </c>
      <c r="I33" s="2">
        <v>2180.83</v>
      </c>
      <c r="J33" s="2">
        <v>4913.78</v>
      </c>
      <c r="K33" s="2">
        <v>0.17</v>
      </c>
      <c r="L33" t="s">
        <v>26</v>
      </c>
      <c r="M33" t="s">
        <v>20</v>
      </c>
      <c r="N33" t="s">
        <v>42</v>
      </c>
      <c r="O33" t="s">
        <v>36</v>
      </c>
      <c r="P33" t="s">
        <v>28</v>
      </c>
    </row>
    <row r="34" spans="1:16" x14ac:dyDescent="0.3">
      <c r="A34">
        <v>1049</v>
      </c>
      <c r="B34" s="1">
        <v>45063</v>
      </c>
      <c r="C34" t="s">
        <v>39</v>
      </c>
      <c r="D34" t="s">
        <v>34</v>
      </c>
      <c r="E34">
        <v>1</v>
      </c>
      <c r="F34" t="s">
        <v>30</v>
      </c>
      <c r="G34" s="2">
        <v>3741.08</v>
      </c>
      <c r="H34" s="2">
        <v>3290.89</v>
      </c>
      <c r="I34" s="2">
        <v>3317.75</v>
      </c>
      <c r="J34" s="2">
        <v>26.86</v>
      </c>
      <c r="K34" s="2">
        <v>0.17</v>
      </c>
      <c r="L34" t="s">
        <v>26</v>
      </c>
      <c r="M34" t="s">
        <v>20</v>
      </c>
      <c r="N34" t="s">
        <v>31</v>
      </c>
      <c r="O34" t="s">
        <v>22</v>
      </c>
      <c r="P34" t="s">
        <v>43</v>
      </c>
    </row>
    <row r="35" spans="1:16" x14ac:dyDescent="0.3">
      <c r="A35">
        <v>1063</v>
      </c>
      <c r="B35" s="1">
        <v>45064</v>
      </c>
      <c r="C35" t="s">
        <v>33</v>
      </c>
      <c r="D35" t="s">
        <v>34</v>
      </c>
      <c r="E35">
        <v>39</v>
      </c>
      <c r="F35" t="s">
        <v>35</v>
      </c>
      <c r="G35" s="2">
        <v>3098.87</v>
      </c>
      <c r="H35" s="2">
        <v>3577.69</v>
      </c>
      <c r="I35" s="2">
        <v>3931.25</v>
      </c>
      <c r="J35" s="2">
        <v>13788.84</v>
      </c>
      <c r="K35" s="2">
        <v>0.21</v>
      </c>
      <c r="L35" t="s">
        <v>19</v>
      </c>
      <c r="M35" t="s">
        <v>20</v>
      </c>
      <c r="N35" t="s">
        <v>21</v>
      </c>
      <c r="O35" t="s">
        <v>36</v>
      </c>
      <c r="P35" t="s">
        <v>37</v>
      </c>
    </row>
    <row r="36" spans="1:16" x14ac:dyDescent="0.3">
      <c r="A36">
        <v>1050</v>
      </c>
      <c r="B36" s="1">
        <v>45065</v>
      </c>
      <c r="C36" t="s">
        <v>44</v>
      </c>
      <c r="D36" t="s">
        <v>24</v>
      </c>
      <c r="E36">
        <v>35</v>
      </c>
      <c r="F36" t="s">
        <v>18</v>
      </c>
      <c r="G36" s="2">
        <v>9744.52</v>
      </c>
      <c r="H36" s="2">
        <v>2158.69</v>
      </c>
      <c r="I36" s="2">
        <v>2384.38</v>
      </c>
      <c r="J36" s="2">
        <v>7899.15</v>
      </c>
      <c r="K36" s="2">
        <v>0.09</v>
      </c>
      <c r="L36" t="s">
        <v>19</v>
      </c>
      <c r="M36" t="s">
        <v>20</v>
      </c>
      <c r="N36" t="s">
        <v>31</v>
      </c>
      <c r="O36" t="s">
        <v>36</v>
      </c>
      <c r="P36" t="s">
        <v>52</v>
      </c>
    </row>
    <row r="37" spans="1:16" x14ac:dyDescent="0.3">
      <c r="A37">
        <v>1071</v>
      </c>
      <c r="B37" s="1">
        <v>45066</v>
      </c>
      <c r="C37" t="s">
        <v>16</v>
      </c>
      <c r="D37" t="s">
        <v>34</v>
      </c>
      <c r="E37">
        <v>6</v>
      </c>
      <c r="F37" t="s">
        <v>30</v>
      </c>
      <c r="G37" s="2">
        <v>3003.76</v>
      </c>
      <c r="H37" s="2">
        <v>2831.23</v>
      </c>
      <c r="I37" s="2">
        <v>3206.98</v>
      </c>
      <c r="J37" s="2">
        <v>2254.5</v>
      </c>
      <c r="K37" s="2">
        <v>0.06</v>
      </c>
      <c r="L37" t="s">
        <v>26</v>
      </c>
      <c r="M37" t="s">
        <v>20</v>
      </c>
      <c r="N37" t="s">
        <v>31</v>
      </c>
      <c r="O37" t="s">
        <v>36</v>
      </c>
      <c r="P37" t="s">
        <v>51</v>
      </c>
    </row>
    <row r="38" spans="1:16" x14ac:dyDescent="0.3">
      <c r="A38">
        <v>1035</v>
      </c>
      <c r="B38" s="1">
        <v>45068</v>
      </c>
      <c r="C38" t="s">
        <v>39</v>
      </c>
      <c r="D38" t="s">
        <v>29</v>
      </c>
      <c r="E38">
        <v>45</v>
      </c>
      <c r="F38" t="s">
        <v>35</v>
      </c>
      <c r="G38" s="2">
        <v>3780.22</v>
      </c>
      <c r="H38" s="2">
        <v>4132.79</v>
      </c>
      <c r="I38" s="2">
        <v>4624.1000000000004</v>
      </c>
      <c r="J38" s="2">
        <v>22108.95</v>
      </c>
      <c r="K38" s="2">
        <v>0.15</v>
      </c>
      <c r="L38" t="s">
        <v>19</v>
      </c>
      <c r="M38" t="s">
        <v>27</v>
      </c>
      <c r="N38" t="s">
        <v>42</v>
      </c>
      <c r="O38" t="s">
        <v>36</v>
      </c>
      <c r="P38" t="s">
        <v>54</v>
      </c>
    </row>
    <row r="39" spans="1:16" x14ac:dyDescent="0.3">
      <c r="A39">
        <v>1002</v>
      </c>
      <c r="B39" s="1">
        <v>45076</v>
      </c>
      <c r="C39" t="s">
        <v>46</v>
      </c>
      <c r="D39" t="s">
        <v>17</v>
      </c>
      <c r="E39">
        <v>17</v>
      </c>
      <c r="F39" t="s">
        <v>30</v>
      </c>
      <c r="G39" s="2">
        <v>6810.35</v>
      </c>
      <c r="H39" s="2">
        <v>4024.76</v>
      </c>
      <c r="I39" s="2">
        <v>4420.1499999999996</v>
      </c>
      <c r="J39" s="2">
        <v>6721.63</v>
      </c>
      <c r="K39" s="2">
        <v>0.04</v>
      </c>
      <c r="L39" t="s">
        <v>19</v>
      </c>
      <c r="M39" t="s">
        <v>20</v>
      </c>
      <c r="N39" t="s">
        <v>21</v>
      </c>
      <c r="O39" t="s">
        <v>22</v>
      </c>
      <c r="P39" t="s">
        <v>55</v>
      </c>
    </row>
    <row r="40" spans="1:16" x14ac:dyDescent="0.3">
      <c r="A40">
        <v>1086</v>
      </c>
      <c r="B40" s="1">
        <v>45079</v>
      </c>
      <c r="C40" t="s">
        <v>33</v>
      </c>
      <c r="D40" t="s">
        <v>24</v>
      </c>
      <c r="E40">
        <v>3</v>
      </c>
      <c r="F40" t="s">
        <v>25</v>
      </c>
      <c r="G40" s="2">
        <v>2495.5700000000002</v>
      </c>
      <c r="H40" s="2">
        <v>1595.35</v>
      </c>
      <c r="I40" s="2">
        <v>1625.71</v>
      </c>
      <c r="J40" s="2">
        <v>91.08</v>
      </c>
      <c r="K40" s="2">
        <v>0.27</v>
      </c>
      <c r="L40" t="s">
        <v>26</v>
      </c>
      <c r="M40" t="s">
        <v>27</v>
      </c>
      <c r="N40" t="s">
        <v>21</v>
      </c>
      <c r="O40" t="s">
        <v>22</v>
      </c>
      <c r="P40" t="s">
        <v>56</v>
      </c>
    </row>
    <row r="41" spans="1:16" x14ac:dyDescent="0.3">
      <c r="A41">
        <v>1069</v>
      </c>
      <c r="B41" s="1">
        <v>45080</v>
      </c>
      <c r="C41" t="s">
        <v>46</v>
      </c>
      <c r="D41" t="s">
        <v>34</v>
      </c>
      <c r="E41">
        <v>42</v>
      </c>
      <c r="F41" t="s">
        <v>18</v>
      </c>
      <c r="G41" s="2">
        <v>6581.04</v>
      </c>
      <c r="H41" s="2">
        <v>1434.2</v>
      </c>
      <c r="I41" s="2">
        <v>1482.88</v>
      </c>
      <c r="J41" s="2">
        <v>2044.56</v>
      </c>
      <c r="K41" s="2">
        <v>0.28000000000000003</v>
      </c>
      <c r="L41" t="s">
        <v>26</v>
      </c>
      <c r="M41" t="s">
        <v>27</v>
      </c>
      <c r="N41" t="s">
        <v>42</v>
      </c>
      <c r="O41" t="s">
        <v>36</v>
      </c>
      <c r="P41" t="s">
        <v>48</v>
      </c>
    </row>
    <row r="42" spans="1:16" x14ac:dyDescent="0.3">
      <c r="A42">
        <v>1079</v>
      </c>
      <c r="B42" s="1">
        <v>45083</v>
      </c>
      <c r="C42" t="s">
        <v>46</v>
      </c>
      <c r="D42" t="s">
        <v>29</v>
      </c>
      <c r="E42">
        <v>34</v>
      </c>
      <c r="F42" t="s">
        <v>30</v>
      </c>
      <c r="G42" s="2">
        <v>1982.07</v>
      </c>
      <c r="H42" s="2">
        <v>1967.96</v>
      </c>
      <c r="I42" s="2">
        <v>1993.4</v>
      </c>
      <c r="J42" s="2">
        <v>864.96</v>
      </c>
      <c r="K42" s="2">
        <v>0.15</v>
      </c>
      <c r="L42" t="s">
        <v>26</v>
      </c>
      <c r="M42" t="s">
        <v>20</v>
      </c>
      <c r="N42" t="s">
        <v>42</v>
      </c>
      <c r="O42" t="s">
        <v>22</v>
      </c>
      <c r="P42" t="s">
        <v>50</v>
      </c>
    </row>
    <row r="43" spans="1:16" x14ac:dyDescent="0.3">
      <c r="A43">
        <v>1032</v>
      </c>
      <c r="B43" s="1">
        <v>45085</v>
      </c>
      <c r="C43" t="s">
        <v>16</v>
      </c>
      <c r="D43" t="s">
        <v>34</v>
      </c>
      <c r="E43">
        <v>49</v>
      </c>
      <c r="F43" t="s">
        <v>25</v>
      </c>
      <c r="G43" s="2">
        <v>219.82</v>
      </c>
      <c r="H43" s="2">
        <v>4812.41</v>
      </c>
      <c r="I43" s="2">
        <v>5088</v>
      </c>
      <c r="J43" s="2">
        <v>13503.91</v>
      </c>
      <c r="K43" s="2">
        <v>0.09</v>
      </c>
      <c r="L43" t="s">
        <v>19</v>
      </c>
      <c r="M43" t="s">
        <v>20</v>
      </c>
      <c r="N43" t="s">
        <v>42</v>
      </c>
      <c r="O43" t="s">
        <v>22</v>
      </c>
      <c r="P43" t="s">
        <v>51</v>
      </c>
    </row>
    <row r="44" spans="1:16" x14ac:dyDescent="0.3">
      <c r="A44">
        <v>1054</v>
      </c>
      <c r="B44" s="1">
        <v>45087</v>
      </c>
      <c r="C44" t="s">
        <v>33</v>
      </c>
      <c r="D44" t="s">
        <v>29</v>
      </c>
      <c r="E44">
        <v>21</v>
      </c>
      <c r="F44" t="s">
        <v>30</v>
      </c>
      <c r="G44" s="2">
        <v>7853.66</v>
      </c>
      <c r="H44" s="2">
        <v>4668.1400000000003</v>
      </c>
      <c r="I44" s="2">
        <v>5040.22</v>
      </c>
      <c r="J44" s="2">
        <v>7813.68</v>
      </c>
      <c r="K44" s="2">
        <v>0.05</v>
      </c>
      <c r="L44" t="s">
        <v>19</v>
      </c>
      <c r="M44" t="s">
        <v>27</v>
      </c>
      <c r="N44" t="s">
        <v>31</v>
      </c>
      <c r="O44" t="s">
        <v>22</v>
      </c>
      <c r="P44" t="s">
        <v>53</v>
      </c>
    </row>
    <row r="45" spans="1:16" x14ac:dyDescent="0.3">
      <c r="A45">
        <v>1011</v>
      </c>
      <c r="B45" s="1">
        <v>45091</v>
      </c>
      <c r="C45" t="s">
        <v>39</v>
      </c>
      <c r="D45" t="s">
        <v>29</v>
      </c>
      <c r="E45">
        <v>38</v>
      </c>
      <c r="F45" t="s">
        <v>30</v>
      </c>
      <c r="G45" s="2">
        <v>4531.97</v>
      </c>
      <c r="H45" s="2">
        <v>4456.67</v>
      </c>
      <c r="I45" s="2">
        <v>4642.46</v>
      </c>
      <c r="J45" s="2">
        <v>7060.02</v>
      </c>
      <c r="K45" s="2">
        <v>0.06</v>
      </c>
      <c r="L45" t="s">
        <v>19</v>
      </c>
      <c r="M45" t="s">
        <v>27</v>
      </c>
      <c r="N45" t="s">
        <v>31</v>
      </c>
      <c r="O45" t="s">
        <v>22</v>
      </c>
      <c r="P45" t="s">
        <v>54</v>
      </c>
    </row>
    <row r="46" spans="1:16" x14ac:dyDescent="0.3">
      <c r="A46">
        <v>1004</v>
      </c>
      <c r="B46" s="1">
        <v>45099</v>
      </c>
      <c r="C46" t="s">
        <v>16</v>
      </c>
      <c r="D46" t="s">
        <v>29</v>
      </c>
      <c r="E46">
        <v>39</v>
      </c>
      <c r="F46" t="s">
        <v>25</v>
      </c>
      <c r="G46" s="2">
        <v>7762.51</v>
      </c>
      <c r="H46" s="2">
        <v>2416.89</v>
      </c>
      <c r="I46" s="2">
        <v>2778.4</v>
      </c>
      <c r="J46" s="2">
        <v>14098.89</v>
      </c>
      <c r="K46" s="2">
        <v>0.05</v>
      </c>
      <c r="L46" t="s">
        <v>19</v>
      </c>
      <c r="M46" t="s">
        <v>20</v>
      </c>
      <c r="N46" t="s">
        <v>21</v>
      </c>
      <c r="O46" t="s">
        <v>22</v>
      </c>
      <c r="P46" t="s">
        <v>32</v>
      </c>
    </row>
    <row r="47" spans="1:16" x14ac:dyDescent="0.3">
      <c r="A47">
        <v>1023</v>
      </c>
      <c r="B47" s="1">
        <v>45105</v>
      </c>
      <c r="C47" t="s">
        <v>16</v>
      </c>
      <c r="D47" t="s">
        <v>24</v>
      </c>
      <c r="E47">
        <v>9</v>
      </c>
      <c r="F47" t="s">
        <v>18</v>
      </c>
      <c r="G47" s="2">
        <v>2170.94</v>
      </c>
      <c r="H47" s="2">
        <v>4155.46</v>
      </c>
      <c r="I47" s="2">
        <v>4273.6000000000004</v>
      </c>
      <c r="J47" s="2">
        <v>1063.26</v>
      </c>
      <c r="K47" s="2">
        <v>0.25</v>
      </c>
      <c r="L47" t="s">
        <v>26</v>
      </c>
      <c r="M47" t="s">
        <v>20</v>
      </c>
      <c r="N47" t="s">
        <v>21</v>
      </c>
      <c r="O47" t="s">
        <v>36</v>
      </c>
      <c r="P47" t="s">
        <v>28</v>
      </c>
    </row>
    <row r="48" spans="1:16" x14ac:dyDescent="0.3">
      <c r="A48">
        <v>1075</v>
      </c>
      <c r="B48" s="1">
        <v>45106</v>
      </c>
      <c r="C48" t="s">
        <v>46</v>
      </c>
      <c r="D48" t="s">
        <v>29</v>
      </c>
      <c r="E48">
        <v>30</v>
      </c>
      <c r="F48" t="s">
        <v>30</v>
      </c>
      <c r="G48" s="2">
        <v>4223.3900000000003</v>
      </c>
      <c r="H48" s="2">
        <v>738.06</v>
      </c>
      <c r="I48" s="2">
        <v>1095.45</v>
      </c>
      <c r="J48" s="2">
        <v>10721.7</v>
      </c>
      <c r="K48" s="2">
        <v>0.05</v>
      </c>
      <c r="L48" t="s">
        <v>19</v>
      </c>
      <c r="M48" t="s">
        <v>27</v>
      </c>
      <c r="N48" t="s">
        <v>31</v>
      </c>
      <c r="O48" t="s">
        <v>22</v>
      </c>
      <c r="P48" t="s">
        <v>50</v>
      </c>
    </row>
    <row r="49" spans="1:16" x14ac:dyDescent="0.3">
      <c r="A49">
        <v>1066</v>
      </c>
      <c r="B49" s="1">
        <v>45110</v>
      </c>
      <c r="C49" t="s">
        <v>44</v>
      </c>
      <c r="D49" t="s">
        <v>17</v>
      </c>
      <c r="E49">
        <v>15</v>
      </c>
      <c r="F49" t="s">
        <v>30</v>
      </c>
      <c r="G49" s="2">
        <v>6380.2</v>
      </c>
      <c r="H49" s="2">
        <v>2579.31</v>
      </c>
      <c r="I49" s="2">
        <v>2867.36</v>
      </c>
      <c r="J49" s="2">
        <v>4320.75</v>
      </c>
      <c r="K49" s="2">
        <v>0.04</v>
      </c>
      <c r="L49" t="s">
        <v>26</v>
      </c>
      <c r="M49" t="s">
        <v>20</v>
      </c>
      <c r="N49" t="s">
        <v>31</v>
      </c>
      <c r="O49" t="s">
        <v>36</v>
      </c>
      <c r="P49" t="s">
        <v>57</v>
      </c>
    </row>
    <row r="50" spans="1:16" x14ac:dyDescent="0.3">
      <c r="A50">
        <v>1030</v>
      </c>
      <c r="B50" s="1">
        <v>45124</v>
      </c>
      <c r="C50" t="s">
        <v>46</v>
      </c>
      <c r="D50" t="s">
        <v>34</v>
      </c>
      <c r="E50">
        <v>19</v>
      </c>
      <c r="F50" t="s">
        <v>18</v>
      </c>
      <c r="G50" s="2">
        <v>3023.48</v>
      </c>
      <c r="H50" s="2">
        <v>3049.33</v>
      </c>
      <c r="I50" s="2">
        <v>3209.22</v>
      </c>
      <c r="J50" s="2">
        <v>3037.91</v>
      </c>
      <c r="K50" s="2">
        <v>0.26</v>
      </c>
      <c r="L50" t="s">
        <v>26</v>
      </c>
      <c r="M50" t="s">
        <v>20</v>
      </c>
      <c r="N50" t="s">
        <v>21</v>
      </c>
      <c r="O50" t="s">
        <v>22</v>
      </c>
      <c r="P50" t="s">
        <v>48</v>
      </c>
    </row>
    <row r="51" spans="1:16" x14ac:dyDescent="0.3">
      <c r="A51">
        <v>1017</v>
      </c>
      <c r="B51" s="1">
        <v>45128</v>
      </c>
      <c r="C51" t="s">
        <v>46</v>
      </c>
      <c r="D51" t="s">
        <v>24</v>
      </c>
      <c r="E51">
        <v>1</v>
      </c>
      <c r="F51" t="s">
        <v>35</v>
      </c>
      <c r="G51" s="2">
        <v>3388.69</v>
      </c>
      <c r="H51" s="2">
        <v>172.59</v>
      </c>
      <c r="I51" s="2">
        <v>404.69</v>
      </c>
      <c r="J51" s="2">
        <v>232.1</v>
      </c>
      <c r="K51" s="2">
        <v>0.28999999999999998</v>
      </c>
      <c r="L51" t="s">
        <v>26</v>
      </c>
      <c r="M51" t="s">
        <v>20</v>
      </c>
      <c r="N51" t="s">
        <v>31</v>
      </c>
      <c r="O51" t="s">
        <v>22</v>
      </c>
      <c r="P51" t="s">
        <v>47</v>
      </c>
    </row>
    <row r="52" spans="1:16" x14ac:dyDescent="0.3">
      <c r="A52">
        <v>1039</v>
      </c>
      <c r="B52" s="1">
        <v>45129</v>
      </c>
      <c r="C52" t="s">
        <v>39</v>
      </c>
      <c r="D52" t="s">
        <v>24</v>
      </c>
      <c r="E52">
        <v>42</v>
      </c>
      <c r="F52" t="s">
        <v>18</v>
      </c>
      <c r="G52" s="2">
        <v>6807.67</v>
      </c>
      <c r="H52" s="2">
        <v>3120.19</v>
      </c>
      <c r="I52" s="2">
        <v>3600.14</v>
      </c>
      <c r="J52" s="2">
        <v>20157.900000000001</v>
      </c>
      <c r="K52" s="2">
        <v>0.19</v>
      </c>
      <c r="L52" t="s">
        <v>19</v>
      </c>
      <c r="M52" t="s">
        <v>20</v>
      </c>
      <c r="N52" t="s">
        <v>42</v>
      </c>
      <c r="O52" t="s">
        <v>36</v>
      </c>
      <c r="P52" t="s">
        <v>40</v>
      </c>
    </row>
    <row r="53" spans="1:16" x14ac:dyDescent="0.3">
      <c r="A53">
        <v>1047</v>
      </c>
      <c r="B53" s="1">
        <v>45146</v>
      </c>
      <c r="C53" t="s">
        <v>46</v>
      </c>
      <c r="D53" t="s">
        <v>17</v>
      </c>
      <c r="E53">
        <v>33</v>
      </c>
      <c r="F53" t="s">
        <v>25</v>
      </c>
      <c r="G53" s="2">
        <v>1331.25</v>
      </c>
      <c r="H53" s="2">
        <v>1341.55</v>
      </c>
      <c r="I53" s="2">
        <v>1427.21</v>
      </c>
      <c r="J53" s="2">
        <v>2826.78</v>
      </c>
      <c r="K53" s="2">
        <v>0.15</v>
      </c>
      <c r="L53" t="s">
        <v>26</v>
      </c>
      <c r="M53" t="s">
        <v>20</v>
      </c>
      <c r="N53" t="s">
        <v>42</v>
      </c>
      <c r="O53" t="s">
        <v>22</v>
      </c>
      <c r="P53" t="s">
        <v>55</v>
      </c>
    </row>
    <row r="54" spans="1:16" x14ac:dyDescent="0.3">
      <c r="A54">
        <v>1084</v>
      </c>
      <c r="B54" s="1">
        <v>45151</v>
      </c>
      <c r="C54" t="s">
        <v>39</v>
      </c>
      <c r="D54" t="s">
        <v>34</v>
      </c>
      <c r="E54">
        <v>21</v>
      </c>
      <c r="F54" t="s">
        <v>30</v>
      </c>
      <c r="G54" s="2">
        <v>1290.05</v>
      </c>
      <c r="H54" s="2">
        <v>3497.98</v>
      </c>
      <c r="I54" s="2">
        <v>3765.31</v>
      </c>
      <c r="J54" s="2">
        <v>5613.93</v>
      </c>
      <c r="K54" s="2">
        <v>0.08</v>
      </c>
      <c r="L54" t="s">
        <v>19</v>
      </c>
      <c r="M54" t="s">
        <v>27</v>
      </c>
      <c r="N54" t="s">
        <v>21</v>
      </c>
      <c r="O54" t="s">
        <v>22</v>
      </c>
      <c r="P54" t="s">
        <v>43</v>
      </c>
    </row>
    <row r="55" spans="1:16" x14ac:dyDescent="0.3">
      <c r="A55">
        <v>1100</v>
      </c>
      <c r="B55" s="1">
        <v>45152</v>
      </c>
      <c r="C55" t="s">
        <v>33</v>
      </c>
      <c r="D55" t="s">
        <v>34</v>
      </c>
      <c r="E55">
        <v>43</v>
      </c>
      <c r="F55" t="s">
        <v>35</v>
      </c>
      <c r="G55" s="2">
        <v>2198.7399999999998</v>
      </c>
      <c r="H55" s="2">
        <v>1100.81</v>
      </c>
      <c r="I55" s="2">
        <v>1137.44</v>
      </c>
      <c r="J55" s="2">
        <v>1575.09</v>
      </c>
      <c r="K55" s="2">
        <v>0.08</v>
      </c>
      <c r="L55" t="s">
        <v>26</v>
      </c>
      <c r="M55" t="s">
        <v>20</v>
      </c>
      <c r="N55" t="s">
        <v>31</v>
      </c>
      <c r="O55" t="s">
        <v>22</v>
      </c>
      <c r="P55" t="s">
        <v>37</v>
      </c>
    </row>
    <row r="56" spans="1:16" x14ac:dyDescent="0.3">
      <c r="A56">
        <v>1022</v>
      </c>
      <c r="B56" s="1">
        <v>45155</v>
      </c>
      <c r="C56" t="s">
        <v>44</v>
      </c>
      <c r="D56" t="s">
        <v>29</v>
      </c>
      <c r="E56">
        <v>21</v>
      </c>
      <c r="F56" t="s">
        <v>35</v>
      </c>
      <c r="G56" s="2">
        <v>8813.5499999999993</v>
      </c>
      <c r="H56" s="2">
        <v>2537.1999999999998</v>
      </c>
      <c r="I56" s="2">
        <v>2869.6</v>
      </c>
      <c r="J56" s="2">
        <v>6980.4</v>
      </c>
      <c r="K56" s="2">
        <v>0.28999999999999998</v>
      </c>
      <c r="L56" t="s">
        <v>19</v>
      </c>
      <c r="M56" t="s">
        <v>27</v>
      </c>
      <c r="N56" t="s">
        <v>31</v>
      </c>
      <c r="O56" t="s">
        <v>36</v>
      </c>
      <c r="P56" t="s">
        <v>45</v>
      </c>
    </row>
    <row r="57" spans="1:16" x14ac:dyDescent="0.3">
      <c r="A57">
        <v>1072</v>
      </c>
      <c r="B57" s="1">
        <v>45162</v>
      </c>
      <c r="C57" t="s">
        <v>33</v>
      </c>
      <c r="D57" t="s">
        <v>29</v>
      </c>
      <c r="E57">
        <v>39</v>
      </c>
      <c r="F57" t="s">
        <v>18</v>
      </c>
      <c r="G57" s="2">
        <v>2167.94</v>
      </c>
      <c r="H57" s="2">
        <v>4330.03</v>
      </c>
      <c r="I57" s="2">
        <v>4467.75</v>
      </c>
      <c r="J57" s="2">
        <v>5371.08</v>
      </c>
      <c r="K57" s="2">
        <v>0.02</v>
      </c>
      <c r="L57" t="s">
        <v>19</v>
      </c>
      <c r="M57" t="s">
        <v>27</v>
      </c>
      <c r="N57" t="s">
        <v>42</v>
      </c>
      <c r="O57" t="s">
        <v>36</v>
      </c>
      <c r="P57" t="s">
        <v>53</v>
      </c>
    </row>
    <row r="58" spans="1:16" x14ac:dyDescent="0.3">
      <c r="A58">
        <v>1059</v>
      </c>
      <c r="B58" s="1">
        <v>45169</v>
      </c>
      <c r="C58" t="s">
        <v>39</v>
      </c>
      <c r="D58" t="s">
        <v>17</v>
      </c>
      <c r="E58">
        <v>35</v>
      </c>
      <c r="F58" t="s">
        <v>35</v>
      </c>
      <c r="G58" s="2">
        <v>1203.97</v>
      </c>
      <c r="H58" s="2">
        <v>3333.64</v>
      </c>
      <c r="I58" s="2">
        <v>3764.52</v>
      </c>
      <c r="J58" s="2">
        <v>15080.8</v>
      </c>
      <c r="K58" s="2">
        <v>0.02</v>
      </c>
      <c r="L58" t="s">
        <v>19</v>
      </c>
      <c r="M58" t="s">
        <v>20</v>
      </c>
      <c r="N58" t="s">
        <v>42</v>
      </c>
      <c r="O58" t="s">
        <v>22</v>
      </c>
      <c r="P58" t="s">
        <v>41</v>
      </c>
    </row>
    <row r="59" spans="1:16" x14ac:dyDescent="0.3">
      <c r="A59">
        <v>1091</v>
      </c>
      <c r="B59" s="1">
        <v>45173</v>
      </c>
      <c r="C59" t="s">
        <v>44</v>
      </c>
      <c r="D59" t="s">
        <v>29</v>
      </c>
      <c r="E59">
        <v>44</v>
      </c>
      <c r="F59" t="s">
        <v>35</v>
      </c>
      <c r="G59" s="2">
        <v>675.11</v>
      </c>
      <c r="H59" s="2">
        <v>2085.46</v>
      </c>
      <c r="I59" s="2">
        <v>2406.58</v>
      </c>
      <c r="J59" s="2">
        <v>14129.28</v>
      </c>
      <c r="K59" s="2">
        <v>0.06</v>
      </c>
      <c r="L59" t="s">
        <v>19</v>
      </c>
      <c r="M59" t="s">
        <v>20</v>
      </c>
      <c r="N59" t="s">
        <v>31</v>
      </c>
      <c r="O59" t="s">
        <v>36</v>
      </c>
      <c r="P59" t="s">
        <v>45</v>
      </c>
    </row>
    <row r="60" spans="1:16" x14ac:dyDescent="0.3">
      <c r="A60">
        <v>1020</v>
      </c>
      <c r="B60" s="1">
        <v>45177</v>
      </c>
      <c r="C60" t="s">
        <v>16</v>
      </c>
      <c r="D60" t="s">
        <v>17</v>
      </c>
      <c r="E60">
        <v>26</v>
      </c>
      <c r="F60" t="s">
        <v>18</v>
      </c>
      <c r="G60" s="2">
        <v>9733.4699999999993</v>
      </c>
      <c r="H60" s="2">
        <v>4472.3500000000004</v>
      </c>
      <c r="I60" s="2">
        <v>4770.42</v>
      </c>
      <c r="J60" s="2">
        <v>7749.82</v>
      </c>
      <c r="K60" s="2">
        <v>0.01</v>
      </c>
      <c r="L60" t="s">
        <v>19</v>
      </c>
      <c r="M60" t="s">
        <v>27</v>
      </c>
      <c r="N60" t="s">
        <v>42</v>
      </c>
      <c r="O60" t="s">
        <v>36</v>
      </c>
      <c r="P60" t="s">
        <v>23</v>
      </c>
    </row>
    <row r="61" spans="1:16" x14ac:dyDescent="0.3">
      <c r="A61">
        <v>1096</v>
      </c>
      <c r="B61" s="1">
        <v>45180</v>
      </c>
      <c r="C61" t="s">
        <v>16</v>
      </c>
      <c r="D61" t="s">
        <v>29</v>
      </c>
      <c r="E61">
        <v>23</v>
      </c>
      <c r="F61" t="s">
        <v>25</v>
      </c>
      <c r="G61" s="2">
        <v>7597.37</v>
      </c>
      <c r="H61" s="2">
        <v>608.57000000000005</v>
      </c>
      <c r="I61" s="2">
        <v>1032.22</v>
      </c>
      <c r="J61" s="2">
        <v>9743.9500000000007</v>
      </c>
      <c r="K61" s="2">
        <v>0.25</v>
      </c>
      <c r="L61" t="s">
        <v>19</v>
      </c>
      <c r="M61" t="s">
        <v>27</v>
      </c>
      <c r="N61" t="s">
        <v>21</v>
      </c>
      <c r="O61" t="s">
        <v>36</v>
      </c>
      <c r="P61" t="s">
        <v>32</v>
      </c>
    </row>
    <row r="62" spans="1:16" x14ac:dyDescent="0.3">
      <c r="A62">
        <v>1006</v>
      </c>
      <c r="B62" s="1">
        <v>45185</v>
      </c>
      <c r="C62" t="s">
        <v>33</v>
      </c>
      <c r="D62" t="s">
        <v>17</v>
      </c>
      <c r="E62">
        <v>49</v>
      </c>
      <c r="F62" t="s">
        <v>35</v>
      </c>
      <c r="G62" s="2">
        <v>8995.75</v>
      </c>
      <c r="H62" s="2">
        <v>2843.76</v>
      </c>
      <c r="I62" s="2">
        <v>3146.6</v>
      </c>
      <c r="J62" s="2">
        <v>14839.16</v>
      </c>
      <c r="K62" s="2">
        <v>0.08</v>
      </c>
      <c r="L62" t="s">
        <v>19</v>
      </c>
      <c r="M62" t="s">
        <v>27</v>
      </c>
      <c r="N62" t="s">
        <v>21</v>
      </c>
      <c r="O62" t="s">
        <v>36</v>
      </c>
      <c r="P62" t="s">
        <v>38</v>
      </c>
    </row>
    <row r="63" spans="1:16" x14ac:dyDescent="0.3">
      <c r="A63">
        <v>1057</v>
      </c>
      <c r="B63" s="1">
        <v>45187</v>
      </c>
      <c r="C63" t="s">
        <v>44</v>
      </c>
      <c r="D63" t="s">
        <v>34</v>
      </c>
      <c r="E63">
        <v>25</v>
      </c>
      <c r="F63" t="s">
        <v>35</v>
      </c>
      <c r="G63" s="2">
        <v>7315.73</v>
      </c>
      <c r="H63" s="2">
        <v>1821.91</v>
      </c>
      <c r="I63" s="2">
        <v>2027.74</v>
      </c>
      <c r="J63" s="2">
        <v>5145.75</v>
      </c>
      <c r="K63" s="2">
        <v>0.02</v>
      </c>
      <c r="L63" t="s">
        <v>19</v>
      </c>
      <c r="M63" t="s">
        <v>27</v>
      </c>
      <c r="N63" t="s">
        <v>31</v>
      </c>
      <c r="O63" t="s">
        <v>36</v>
      </c>
      <c r="P63" t="s">
        <v>49</v>
      </c>
    </row>
    <row r="64" spans="1:16" x14ac:dyDescent="0.3">
      <c r="A64">
        <v>1015</v>
      </c>
      <c r="B64" s="1">
        <v>45190</v>
      </c>
      <c r="C64" t="s">
        <v>46</v>
      </c>
      <c r="D64" t="s">
        <v>29</v>
      </c>
      <c r="E64">
        <v>30</v>
      </c>
      <c r="F64" t="s">
        <v>35</v>
      </c>
      <c r="G64" s="2">
        <v>4631.2299999999996</v>
      </c>
      <c r="H64" s="2">
        <v>261.56</v>
      </c>
      <c r="I64" s="2">
        <v>371.4</v>
      </c>
      <c r="J64" s="2">
        <v>3295.2</v>
      </c>
      <c r="K64" s="2">
        <v>0.2</v>
      </c>
      <c r="L64" t="s">
        <v>26</v>
      </c>
      <c r="M64" t="s">
        <v>20</v>
      </c>
      <c r="N64" t="s">
        <v>31</v>
      </c>
      <c r="O64" t="s">
        <v>36</v>
      </c>
      <c r="P64" t="s">
        <v>50</v>
      </c>
    </row>
    <row r="65" spans="1:16" x14ac:dyDescent="0.3">
      <c r="A65">
        <v>1048</v>
      </c>
      <c r="B65" s="1">
        <v>45199</v>
      </c>
      <c r="C65" t="s">
        <v>44</v>
      </c>
      <c r="D65" t="s">
        <v>17</v>
      </c>
      <c r="E65">
        <v>4</v>
      </c>
      <c r="F65" t="s">
        <v>30</v>
      </c>
      <c r="G65" s="2">
        <v>7873.38</v>
      </c>
      <c r="H65" s="2">
        <v>2900.14</v>
      </c>
      <c r="I65" s="2">
        <v>2910.51</v>
      </c>
      <c r="J65" s="2">
        <v>41.48</v>
      </c>
      <c r="K65" s="2">
        <v>0.22</v>
      </c>
      <c r="L65" t="s">
        <v>26</v>
      </c>
      <c r="M65" t="s">
        <v>27</v>
      </c>
      <c r="N65" t="s">
        <v>42</v>
      </c>
      <c r="O65" t="s">
        <v>36</v>
      </c>
      <c r="P65" t="s">
        <v>57</v>
      </c>
    </row>
    <row r="66" spans="1:16" x14ac:dyDescent="0.3">
      <c r="A66">
        <v>1025</v>
      </c>
      <c r="B66" s="1">
        <v>45214</v>
      </c>
      <c r="C66" t="s">
        <v>46</v>
      </c>
      <c r="D66" t="s">
        <v>17</v>
      </c>
      <c r="E66">
        <v>44</v>
      </c>
      <c r="F66" t="s">
        <v>35</v>
      </c>
      <c r="G66" s="2">
        <v>3422.54</v>
      </c>
      <c r="H66" s="2">
        <v>1485.72</v>
      </c>
      <c r="I66" s="2">
        <v>1717.97</v>
      </c>
      <c r="J66" s="2">
        <v>10219</v>
      </c>
      <c r="K66" s="2">
        <v>0.02</v>
      </c>
      <c r="L66" t="s">
        <v>19</v>
      </c>
      <c r="M66" t="s">
        <v>27</v>
      </c>
      <c r="N66" t="s">
        <v>42</v>
      </c>
      <c r="O66" t="s">
        <v>36</v>
      </c>
      <c r="P66" t="s">
        <v>55</v>
      </c>
    </row>
    <row r="67" spans="1:16" x14ac:dyDescent="0.3">
      <c r="A67">
        <v>1053</v>
      </c>
      <c r="B67" s="1">
        <v>45215</v>
      </c>
      <c r="C67" t="s">
        <v>33</v>
      </c>
      <c r="D67" t="s">
        <v>17</v>
      </c>
      <c r="E67">
        <v>48</v>
      </c>
      <c r="F67" t="s">
        <v>30</v>
      </c>
      <c r="G67" s="2">
        <v>2235.83</v>
      </c>
      <c r="H67" s="2">
        <v>121.19</v>
      </c>
      <c r="I67" s="2">
        <v>487.65</v>
      </c>
      <c r="J67" s="2">
        <v>17590.080000000002</v>
      </c>
      <c r="K67" s="2">
        <v>0.18</v>
      </c>
      <c r="L67" t="s">
        <v>19</v>
      </c>
      <c r="M67" t="s">
        <v>27</v>
      </c>
      <c r="N67" t="s">
        <v>21</v>
      </c>
      <c r="O67" t="s">
        <v>36</v>
      </c>
      <c r="P67" t="s">
        <v>38</v>
      </c>
    </row>
    <row r="68" spans="1:16" x14ac:dyDescent="0.3">
      <c r="A68">
        <v>1098</v>
      </c>
      <c r="B68" s="1">
        <v>45217</v>
      </c>
      <c r="C68" t="s">
        <v>16</v>
      </c>
      <c r="D68" t="s">
        <v>34</v>
      </c>
      <c r="E68">
        <v>21</v>
      </c>
      <c r="F68" t="s">
        <v>30</v>
      </c>
      <c r="G68" s="2">
        <v>1600.79</v>
      </c>
      <c r="H68" s="2">
        <v>725.03</v>
      </c>
      <c r="I68" s="2">
        <v>828.95</v>
      </c>
      <c r="J68" s="2">
        <v>2182.3200000000002</v>
      </c>
      <c r="K68" s="2">
        <v>0.18</v>
      </c>
      <c r="L68" t="s">
        <v>26</v>
      </c>
      <c r="M68" t="s">
        <v>27</v>
      </c>
      <c r="N68" t="s">
        <v>31</v>
      </c>
      <c r="O68" t="s">
        <v>22</v>
      </c>
      <c r="P68" t="s">
        <v>51</v>
      </c>
    </row>
    <row r="69" spans="1:16" x14ac:dyDescent="0.3">
      <c r="A69">
        <v>1036</v>
      </c>
      <c r="B69" s="1">
        <v>45219</v>
      </c>
      <c r="C69" t="s">
        <v>46</v>
      </c>
      <c r="D69" t="s">
        <v>17</v>
      </c>
      <c r="E69">
        <v>49</v>
      </c>
      <c r="F69" t="s">
        <v>18</v>
      </c>
      <c r="G69" s="2">
        <v>6499.94</v>
      </c>
      <c r="H69" s="2">
        <v>1247.0999999999999</v>
      </c>
      <c r="I69" s="2">
        <v>1429.44</v>
      </c>
      <c r="J69" s="2">
        <v>8934.66</v>
      </c>
      <c r="K69" s="2">
        <v>0.16</v>
      </c>
      <c r="L69" t="s">
        <v>19</v>
      </c>
      <c r="M69" t="s">
        <v>27</v>
      </c>
      <c r="N69" t="s">
        <v>21</v>
      </c>
      <c r="O69" t="s">
        <v>22</v>
      </c>
      <c r="P69" t="s">
        <v>55</v>
      </c>
    </row>
    <row r="70" spans="1:16" x14ac:dyDescent="0.3">
      <c r="A70">
        <v>1013</v>
      </c>
      <c r="B70" s="1">
        <v>45220</v>
      </c>
      <c r="C70" t="s">
        <v>46</v>
      </c>
      <c r="D70" t="s">
        <v>24</v>
      </c>
      <c r="E70">
        <v>20</v>
      </c>
      <c r="F70" t="s">
        <v>25</v>
      </c>
      <c r="G70" s="2">
        <v>5039.07</v>
      </c>
      <c r="H70" s="2">
        <v>1533.36</v>
      </c>
      <c r="I70" s="2">
        <v>1649.74</v>
      </c>
      <c r="J70" s="2">
        <v>2327.6</v>
      </c>
      <c r="K70" s="2">
        <v>0.1</v>
      </c>
      <c r="L70" t="s">
        <v>26</v>
      </c>
      <c r="M70" t="s">
        <v>20</v>
      </c>
      <c r="N70" t="s">
        <v>31</v>
      </c>
      <c r="O70" t="s">
        <v>22</v>
      </c>
      <c r="P70" t="s">
        <v>47</v>
      </c>
    </row>
    <row r="71" spans="1:16" x14ac:dyDescent="0.3">
      <c r="A71">
        <v>1012</v>
      </c>
      <c r="B71" s="1">
        <v>45221</v>
      </c>
      <c r="C71" t="s">
        <v>46</v>
      </c>
      <c r="D71" t="s">
        <v>17</v>
      </c>
      <c r="E71">
        <v>34</v>
      </c>
      <c r="F71" t="s">
        <v>30</v>
      </c>
      <c r="G71" s="2">
        <v>4384.88</v>
      </c>
      <c r="H71" s="2">
        <v>2462.5500000000002</v>
      </c>
      <c r="I71" s="2">
        <v>2521.77</v>
      </c>
      <c r="J71" s="2">
        <v>2013.48</v>
      </c>
      <c r="K71" s="2">
        <v>0.21</v>
      </c>
      <c r="L71" t="s">
        <v>26</v>
      </c>
      <c r="M71" t="s">
        <v>27</v>
      </c>
      <c r="N71" t="s">
        <v>31</v>
      </c>
      <c r="O71" t="s">
        <v>36</v>
      </c>
      <c r="P71" t="s">
        <v>55</v>
      </c>
    </row>
    <row r="72" spans="1:16" x14ac:dyDescent="0.3">
      <c r="A72">
        <v>1097</v>
      </c>
      <c r="B72" s="1">
        <v>45225</v>
      </c>
      <c r="C72" t="s">
        <v>39</v>
      </c>
      <c r="D72" t="s">
        <v>24</v>
      </c>
      <c r="E72">
        <v>27</v>
      </c>
      <c r="F72" t="s">
        <v>25</v>
      </c>
      <c r="G72" s="2">
        <v>7633.98</v>
      </c>
      <c r="H72" s="2">
        <v>4686.79</v>
      </c>
      <c r="I72" s="2">
        <v>5046.51</v>
      </c>
      <c r="J72" s="2">
        <v>9712.44</v>
      </c>
      <c r="K72" s="2">
        <v>0.05</v>
      </c>
      <c r="L72" t="s">
        <v>19</v>
      </c>
      <c r="M72" t="s">
        <v>20</v>
      </c>
      <c r="N72" t="s">
        <v>42</v>
      </c>
      <c r="O72" t="s">
        <v>36</v>
      </c>
      <c r="P72" t="s">
        <v>40</v>
      </c>
    </row>
    <row r="73" spans="1:16" x14ac:dyDescent="0.3">
      <c r="A73">
        <v>1019</v>
      </c>
      <c r="B73" s="1">
        <v>45228</v>
      </c>
      <c r="C73" t="s">
        <v>46</v>
      </c>
      <c r="D73" t="s">
        <v>34</v>
      </c>
      <c r="E73">
        <v>31</v>
      </c>
      <c r="F73" t="s">
        <v>35</v>
      </c>
      <c r="G73" s="2">
        <v>5952.19</v>
      </c>
      <c r="H73" s="2">
        <v>333.69</v>
      </c>
      <c r="I73" s="2">
        <v>685.1</v>
      </c>
      <c r="J73" s="2">
        <v>10893.71</v>
      </c>
      <c r="K73" s="2">
        <v>0.04</v>
      </c>
      <c r="L73" t="s">
        <v>19</v>
      </c>
      <c r="M73" t="s">
        <v>27</v>
      </c>
      <c r="N73" t="s">
        <v>31</v>
      </c>
      <c r="O73" t="s">
        <v>22</v>
      </c>
      <c r="P73" t="s">
        <v>48</v>
      </c>
    </row>
    <row r="74" spans="1:16" x14ac:dyDescent="0.3">
      <c r="A74">
        <v>1089</v>
      </c>
      <c r="B74" s="1">
        <v>45237</v>
      </c>
      <c r="C74" t="s">
        <v>33</v>
      </c>
      <c r="D74" t="s">
        <v>34</v>
      </c>
      <c r="E74">
        <v>47</v>
      </c>
      <c r="F74" t="s">
        <v>30</v>
      </c>
      <c r="G74" s="2">
        <v>2945.36</v>
      </c>
      <c r="H74" s="2">
        <v>4157.62</v>
      </c>
      <c r="I74" s="2">
        <v>4314.5600000000004</v>
      </c>
      <c r="J74" s="2">
        <v>7376.18</v>
      </c>
      <c r="K74" s="2">
        <v>0.17</v>
      </c>
      <c r="L74" t="s">
        <v>19</v>
      </c>
      <c r="M74" t="s">
        <v>27</v>
      </c>
      <c r="N74" t="s">
        <v>31</v>
      </c>
      <c r="O74" t="s">
        <v>36</v>
      </c>
      <c r="P74" t="s">
        <v>37</v>
      </c>
    </row>
    <row r="75" spans="1:16" x14ac:dyDescent="0.3">
      <c r="A75">
        <v>1024</v>
      </c>
      <c r="B75" s="1">
        <v>45241</v>
      </c>
      <c r="C75" t="s">
        <v>16</v>
      </c>
      <c r="D75" t="s">
        <v>34</v>
      </c>
      <c r="E75">
        <v>21</v>
      </c>
      <c r="F75" t="s">
        <v>35</v>
      </c>
      <c r="G75" s="2">
        <v>6607.8</v>
      </c>
      <c r="H75" s="2">
        <v>622.01</v>
      </c>
      <c r="I75" s="2">
        <v>641.09</v>
      </c>
      <c r="J75" s="2">
        <v>400.68</v>
      </c>
      <c r="K75" s="2">
        <v>0</v>
      </c>
      <c r="L75" t="s">
        <v>26</v>
      </c>
      <c r="M75" t="s">
        <v>20</v>
      </c>
      <c r="N75" t="s">
        <v>31</v>
      </c>
      <c r="O75" t="s">
        <v>36</v>
      </c>
      <c r="P75" t="s">
        <v>51</v>
      </c>
    </row>
    <row r="76" spans="1:16" x14ac:dyDescent="0.3">
      <c r="A76">
        <v>1001</v>
      </c>
      <c r="B76" s="1">
        <v>45242</v>
      </c>
      <c r="C76" t="s">
        <v>39</v>
      </c>
      <c r="D76" t="s">
        <v>17</v>
      </c>
      <c r="E76">
        <v>8</v>
      </c>
      <c r="F76" t="s">
        <v>25</v>
      </c>
      <c r="G76" s="2">
        <v>715.81</v>
      </c>
      <c r="H76" s="2">
        <v>3657.91</v>
      </c>
      <c r="I76" s="2">
        <v>3729.27</v>
      </c>
      <c r="J76" s="2">
        <v>570.88</v>
      </c>
      <c r="K76" s="2">
        <v>0.09</v>
      </c>
      <c r="L76" t="s">
        <v>26</v>
      </c>
      <c r="M76" t="s">
        <v>27</v>
      </c>
      <c r="N76" t="s">
        <v>31</v>
      </c>
      <c r="O76" t="s">
        <v>36</v>
      </c>
      <c r="P76" t="s">
        <v>41</v>
      </c>
    </row>
    <row r="77" spans="1:16" x14ac:dyDescent="0.3">
      <c r="A77">
        <v>1033</v>
      </c>
      <c r="B77" s="1">
        <v>45244</v>
      </c>
      <c r="C77" t="s">
        <v>46</v>
      </c>
      <c r="D77" t="s">
        <v>29</v>
      </c>
      <c r="E77">
        <v>23</v>
      </c>
      <c r="F77" t="s">
        <v>30</v>
      </c>
      <c r="G77" s="2">
        <v>4011.8</v>
      </c>
      <c r="H77" s="2">
        <v>2981.5</v>
      </c>
      <c r="I77" s="2">
        <v>3360.4</v>
      </c>
      <c r="J77" s="2">
        <v>8714.7000000000007</v>
      </c>
      <c r="K77" s="2">
        <v>0.22</v>
      </c>
      <c r="L77" t="s">
        <v>19</v>
      </c>
      <c r="M77" t="s">
        <v>20</v>
      </c>
      <c r="N77" t="s">
        <v>31</v>
      </c>
      <c r="O77" t="s">
        <v>36</v>
      </c>
      <c r="P77" t="s">
        <v>50</v>
      </c>
    </row>
    <row r="78" spans="1:16" x14ac:dyDescent="0.3">
      <c r="A78">
        <v>1088</v>
      </c>
      <c r="B78" s="1">
        <v>45246</v>
      </c>
      <c r="C78" t="s">
        <v>16</v>
      </c>
      <c r="D78" t="s">
        <v>17</v>
      </c>
      <c r="E78">
        <v>13</v>
      </c>
      <c r="F78" t="s">
        <v>30</v>
      </c>
      <c r="G78" s="2">
        <v>8518.4500000000007</v>
      </c>
      <c r="H78" s="2">
        <v>2440.11</v>
      </c>
      <c r="I78" s="2">
        <v>2517.6</v>
      </c>
      <c r="J78" s="2">
        <v>1007.37</v>
      </c>
      <c r="K78" s="2">
        <v>0.23</v>
      </c>
      <c r="L78" t="s">
        <v>26</v>
      </c>
      <c r="M78" t="s">
        <v>27</v>
      </c>
      <c r="N78" t="s">
        <v>31</v>
      </c>
      <c r="O78" t="s">
        <v>36</v>
      </c>
      <c r="P78" t="s">
        <v>23</v>
      </c>
    </row>
    <row r="79" spans="1:16" x14ac:dyDescent="0.3">
      <c r="A79">
        <v>1090</v>
      </c>
      <c r="B79" s="1">
        <v>45250</v>
      </c>
      <c r="C79" t="s">
        <v>39</v>
      </c>
      <c r="D79" t="s">
        <v>34</v>
      </c>
      <c r="E79">
        <v>32</v>
      </c>
      <c r="F79" t="s">
        <v>25</v>
      </c>
      <c r="G79" s="2">
        <v>267.77999999999997</v>
      </c>
      <c r="H79" s="2">
        <v>2678.99</v>
      </c>
      <c r="I79" s="2">
        <v>3152.28</v>
      </c>
      <c r="J79" s="2">
        <v>15145.28</v>
      </c>
      <c r="K79" s="2">
        <v>0.22</v>
      </c>
      <c r="L79" t="s">
        <v>19</v>
      </c>
      <c r="M79" t="s">
        <v>20</v>
      </c>
      <c r="N79" t="s">
        <v>21</v>
      </c>
      <c r="O79" t="s">
        <v>36</v>
      </c>
      <c r="P79" t="s">
        <v>43</v>
      </c>
    </row>
    <row r="80" spans="1:16" x14ac:dyDescent="0.3">
      <c r="A80">
        <v>1014</v>
      </c>
      <c r="B80" s="1">
        <v>45252</v>
      </c>
      <c r="C80" t="s">
        <v>46</v>
      </c>
      <c r="D80" t="s">
        <v>34</v>
      </c>
      <c r="E80">
        <v>17</v>
      </c>
      <c r="F80" t="s">
        <v>35</v>
      </c>
      <c r="G80" s="2">
        <v>9762.5400000000009</v>
      </c>
      <c r="H80" s="2">
        <v>3184.65</v>
      </c>
      <c r="I80" s="2">
        <v>3204.01</v>
      </c>
      <c r="J80" s="2">
        <v>329.12</v>
      </c>
      <c r="K80" s="2">
        <v>0.2</v>
      </c>
      <c r="L80" t="s">
        <v>26</v>
      </c>
      <c r="M80" t="s">
        <v>27</v>
      </c>
      <c r="N80" t="s">
        <v>31</v>
      </c>
      <c r="O80" t="s">
        <v>22</v>
      </c>
      <c r="P80" t="s">
        <v>48</v>
      </c>
    </row>
    <row r="81" spans="1:16" x14ac:dyDescent="0.3">
      <c r="A81">
        <v>1065</v>
      </c>
      <c r="B81" s="1">
        <v>45254</v>
      </c>
      <c r="C81" t="s">
        <v>33</v>
      </c>
      <c r="D81" t="s">
        <v>24</v>
      </c>
      <c r="E81">
        <v>18</v>
      </c>
      <c r="F81" t="s">
        <v>35</v>
      </c>
      <c r="G81" s="2">
        <v>9183.11</v>
      </c>
      <c r="H81" s="2">
        <v>1239.0899999999999</v>
      </c>
      <c r="I81" s="2">
        <v>1273.98</v>
      </c>
      <c r="J81" s="2">
        <v>628.02</v>
      </c>
      <c r="K81" s="2">
        <v>0.02</v>
      </c>
      <c r="L81" t="s">
        <v>26</v>
      </c>
      <c r="M81" t="s">
        <v>27</v>
      </c>
      <c r="N81" t="s">
        <v>31</v>
      </c>
      <c r="O81" t="s">
        <v>36</v>
      </c>
      <c r="P81" t="s">
        <v>56</v>
      </c>
    </row>
    <row r="82" spans="1:16" x14ac:dyDescent="0.3">
      <c r="A82">
        <v>1095</v>
      </c>
      <c r="B82" s="1">
        <v>45255</v>
      </c>
      <c r="C82" t="s">
        <v>39</v>
      </c>
      <c r="D82" t="s">
        <v>24</v>
      </c>
      <c r="E82">
        <v>37</v>
      </c>
      <c r="F82" t="s">
        <v>25</v>
      </c>
      <c r="G82" s="2">
        <v>9432.9699999999993</v>
      </c>
      <c r="H82" s="2">
        <v>407.77</v>
      </c>
      <c r="I82" s="2">
        <v>860.95</v>
      </c>
      <c r="J82" s="2">
        <v>16767.66</v>
      </c>
      <c r="K82" s="2">
        <v>0.1</v>
      </c>
      <c r="L82" t="s">
        <v>19</v>
      </c>
      <c r="M82" t="s">
        <v>27</v>
      </c>
      <c r="N82" t="s">
        <v>42</v>
      </c>
      <c r="O82" t="s">
        <v>36</v>
      </c>
      <c r="P82" t="s">
        <v>40</v>
      </c>
    </row>
    <row r="83" spans="1:16" x14ac:dyDescent="0.3">
      <c r="A83">
        <v>1043</v>
      </c>
      <c r="B83" s="1">
        <v>45256</v>
      </c>
      <c r="C83" t="s">
        <v>33</v>
      </c>
      <c r="D83" t="s">
        <v>29</v>
      </c>
      <c r="E83">
        <v>3</v>
      </c>
      <c r="F83" t="s">
        <v>25</v>
      </c>
      <c r="G83" s="2">
        <v>1710.73</v>
      </c>
      <c r="H83" s="2">
        <v>2009.1</v>
      </c>
      <c r="I83" s="2">
        <v>2186.42</v>
      </c>
      <c r="J83" s="2">
        <v>531.96</v>
      </c>
      <c r="K83" s="2">
        <v>0.25</v>
      </c>
      <c r="L83" t="s">
        <v>26</v>
      </c>
      <c r="M83" t="s">
        <v>27</v>
      </c>
      <c r="N83" t="s">
        <v>31</v>
      </c>
      <c r="O83" t="s">
        <v>22</v>
      </c>
      <c r="P83" t="s">
        <v>53</v>
      </c>
    </row>
    <row r="84" spans="1:16" x14ac:dyDescent="0.3">
      <c r="A84">
        <v>1082</v>
      </c>
      <c r="B84" s="1">
        <v>45260</v>
      </c>
      <c r="C84" t="s">
        <v>39</v>
      </c>
      <c r="D84" t="s">
        <v>29</v>
      </c>
      <c r="E84">
        <v>41</v>
      </c>
      <c r="F84" t="s">
        <v>25</v>
      </c>
      <c r="G84" s="2">
        <v>6261.9</v>
      </c>
      <c r="H84" s="2">
        <v>1196.42</v>
      </c>
      <c r="I84" s="2">
        <v>1444.97</v>
      </c>
      <c r="J84" s="2">
        <v>10190.549999999999</v>
      </c>
      <c r="K84" s="2">
        <v>0.21</v>
      </c>
      <c r="L84" t="s">
        <v>19</v>
      </c>
      <c r="M84" t="s">
        <v>20</v>
      </c>
      <c r="N84" t="s">
        <v>31</v>
      </c>
      <c r="O84" t="s">
        <v>22</v>
      </c>
      <c r="P84" t="s">
        <v>54</v>
      </c>
    </row>
    <row r="85" spans="1:16" x14ac:dyDescent="0.3">
      <c r="A85">
        <v>1055</v>
      </c>
      <c r="B85" s="1">
        <v>45261</v>
      </c>
      <c r="C85" t="s">
        <v>44</v>
      </c>
      <c r="D85" t="s">
        <v>34</v>
      </c>
      <c r="E85">
        <v>8</v>
      </c>
      <c r="F85" t="s">
        <v>30</v>
      </c>
      <c r="G85" s="2">
        <v>4102.47</v>
      </c>
      <c r="H85" s="3">
        <v>3513</v>
      </c>
      <c r="I85" s="2">
        <v>3838.42</v>
      </c>
      <c r="J85" s="2">
        <v>2603.36</v>
      </c>
      <c r="K85" s="2">
        <v>0.13</v>
      </c>
      <c r="L85" t="s">
        <v>26</v>
      </c>
      <c r="M85" t="s">
        <v>20</v>
      </c>
      <c r="N85" t="s">
        <v>31</v>
      </c>
      <c r="O85" t="s">
        <v>22</v>
      </c>
      <c r="P85" t="s">
        <v>49</v>
      </c>
    </row>
    <row r="86" spans="1:16" x14ac:dyDescent="0.3">
      <c r="A86">
        <v>1031</v>
      </c>
      <c r="B86" s="1">
        <v>45268</v>
      </c>
      <c r="C86" t="s">
        <v>46</v>
      </c>
      <c r="D86" t="s">
        <v>17</v>
      </c>
      <c r="E86">
        <v>22</v>
      </c>
      <c r="F86" t="s">
        <v>35</v>
      </c>
      <c r="G86" s="2">
        <v>7567.06</v>
      </c>
      <c r="H86" s="2">
        <v>4236.05</v>
      </c>
      <c r="I86" s="2">
        <v>4382.32</v>
      </c>
      <c r="J86" s="2">
        <v>3217.94</v>
      </c>
      <c r="K86" s="2">
        <v>0.2</v>
      </c>
      <c r="L86" t="s">
        <v>26</v>
      </c>
      <c r="M86" t="s">
        <v>27</v>
      </c>
      <c r="N86" t="s">
        <v>31</v>
      </c>
      <c r="O86" t="s">
        <v>22</v>
      </c>
      <c r="P86" t="s">
        <v>55</v>
      </c>
    </row>
    <row r="87" spans="1:16" x14ac:dyDescent="0.3">
      <c r="A87">
        <v>1045</v>
      </c>
      <c r="B87" s="1">
        <v>45275</v>
      </c>
      <c r="C87" t="s">
        <v>46</v>
      </c>
      <c r="D87" t="s">
        <v>29</v>
      </c>
      <c r="E87">
        <v>42</v>
      </c>
      <c r="F87" t="s">
        <v>18</v>
      </c>
      <c r="G87" s="2">
        <v>3517.4</v>
      </c>
      <c r="H87" s="2">
        <v>3587.74</v>
      </c>
      <c r="I87" s="2">
        <v>3745.91</v>
      </c>
      <c r="J87" s="2">
        <v>6643.14</v>
      </c>
      <c r="K87" s="2">
        <v>1</v>
      </c>
      <c r="L87" t="s">
        <v>19</v>
      </c>
      <c r="M87" t="s">
        <v>20</v>
      </c>
      <c r="N87" t="s">
        <v>21</v>
      </c>
      <c r="O87" t="s">
        <v>22</v>
      </c>
      <c r="P87" t="s">
        <v>50</v>
      </c>
    </row>
    <row r="88" spans="1:16" x14ac:dyDescent="0.3">
      <c r="A88">
        <v>1060</v>
      </c>
      <c r="B88" s="1">
        <v>45276</v>
      </c>
      <c r="C88" t="s">
        <v>16</v>
      </c>
      <c r="D88" t="s">
        <v>24</v>
      </c>
      <c r="E88">
        <v>44</v>
      </c>
      <c r="F88" t="s">
        <v>18</v>
      </c>
      <c r="G88" s="2">
        <v>3224.71</v>
      </c>
      <c r="H88" s="2">
        <v>3784.96</v>
      </c>
      <c r="I88" s="2">
        <v>4276.99</v>
      </c>
      <c r="J88" s="2">
        <v>21649.32</v>
      </c>
      <c r="K88" s="2">
        <v>0.06</v>
      </c>
      <c r="L88" t="s">
        <v>19</v>
      </c>
      <c r="M88" t="s">
        <v>27</v>
      </c>
      <c r="N88" t="s">
        <v>31</v>
      </c>
      <c r="O88" t="s">
        <v>36</v>
      </c>
      <c r="P88" t="s">
        <v>28</v>
      </c>
    </row>
    <row r="89" spans="1:16" x14ac:dyDescent="0.3">
      <c r="A89">
        <v>1003</v>
      </c>
      <c r="B89" s="1">
        <v>45291</v>
      </c>
      <c r="C89" t="s">
        <v>39</v>
      </c>
      <c r="D89" t="s">
        <v>29</v>
      </c>
      <c r="E89">
        <v>37.33</v>
      </c>
      <c r="F89" t="s">
        <v>30</v>
      </c>
      <c r="G89" s="2">
        <v>4775.59</v>
      </c>
      <c r="H89" s="2">
        <v>4190.28</v>
      </c>
      <c r="I89" s="2">
        <v>4270.6499999999996</v>
      </c>
      <c r="J89" s="2">
        <v>3000</v>
      </c>
      <c r="K89" s="2">
        <v>0.2</v>
      </c>
      <c r="L89" t="s">
        <v>26</v>
      </c>
      <c r="M89" t="s">
        <v>27</v>
      </c>
      <c r="N89" t="s">
        <v>21</v>
      </c>
      <c r="O89" t="s">
        <v>22</v>
      </c>
      <c r="P89" t="s">
        <v>54</v>
      </c>
    </row>
    <row r="91" spans="1:16" x14ac:dyDescent="0.3">
      <c r="F91" t="s">
        <v>58</v>
      </c>
      <c r="G91" s="2">
        <f>SUM(G2:G89)</f>
        <v>418082.99999999994</v>
      </c>
      <c r="H91" s="2">
        <f>SUM(H2:H89)</f>
        <v>215847.75</v>
      </c>
      <c r="I91" s="2">
        <f t="shared" ref="I91:K91" si="0">SUM(I2:I89)</f>
        <v>235975.59000000005</v>
      </c>
      <c r="J91" s="2">
        <f t="shared" si="0"/>
        <v>567920.6</v>
      </c>
      <c r="K91" s="2">
        <f t="shared" si="0"/>
        <v>13.04</v>
      </c>
    </row>
    <row r="92" spans="1:16" x14ac:dyDescent="0.3">
      <c r="F92" t="s">
        <v>59</v>
      </c>
      <c r="G92" s="2">
        <f>AVERAGE(G2:G89)</f>
        <v>4750.9431818181811</v>
      </c>
      <c r="H92" s="2">
        <f t="shared" ref="H92:K92" si="1">AVERAGE(H2:H89)</f>
        <v>2452.815340909091</v>
      </c>
      <c r="I92" s="2">
        <f t="shared" si="1"/>
        <v>2681.5407954545462</v>
      </c>
      <c r="J92" s="2">
        <f t="shared" si="1"/>
        <v>6453.6431818181818</v>
      </c>
      <c r="K92" s="2">
        <f t="shared" si="1"/>
        <v>0.14818181818181816</v>
      </c>
    </row>
    <row r="93" spans="1:16" x14ac:dyDescent="0.3">
      <c r="F93" t="s">
        <v>61</v>
      </c>
      <c r="G93" s="2">
        <f>MAX(G2:G89)</f>
        <v>9813.81</v>
      </c>
      <c r="H93" s="2">
        <f t="shared" ref="H93:K93" si="2">MAX(H2:H89)</f>
        <v>4812.41</v>
      </c>
      <c r="I93" s="2">
        <f t="shared" si="2"/>
        <v>5088</v>
      </c>
      <c r="J93" s="2">
        <f t="shared" si="2"/>
        <v>22108.95</v>
      </c>
      <c r="K93" s="2">
        <f t="shared" si="2"/>
        <v>1</v>
      </c>
    </row>
    <row r="94" spans="1:16" x14ac:dyDescent="0.3">
      <c r="F94" t="s">
        <v>60</v>
      </c>
      <c r="G94" s="2">
        <f>MIN(G2:G89)</f>
        <v>219.82</v>
      </c>
      <c r="H94" s="2">
        <f t="shared" ref="H94:K94" si="3">MIN(H2:H89)</f>
        <v>121.19</v>
      </c>
      <c r="I94" s="2">
        <f t="shared" si="3"/>
        <v>267.22000000000003</v>
      </c>
      <c r="J94" s="2">
        <f t="shared" si="3"/>
        <v>26.86</v>
      </c>
      <c r="K94" s="2">
        <f t="shared" si="3"/>
        <v>0</v>
      </c>
    </row>
    <row r="96" spans="1:16" x14ac:dyDescent="0.3">
      <c r="C96" t="s">
        <v>62</v>
      </c>
      <c r="E96">
        <f>COUNT(E2:E89)</f>
        <v>88</v>
      </c>
    </row>
    <row r="97" spans="3:14" x14ac:dyDescent="0.3">
      <c r="M97" t="s">
        <v>65</v>
      </c>
      <c r="N97">
        <f>IFERROR(VLOOKUP(A2, $A2:$E89, 5, FALSE),"Not Found")</f>
        <v>38</v>
      </c>
    </row>
    <row r="98" spans="3:14" x14ac:dyDescent="0.3">
      <c r="C98" t="s">
        <v>63</v>
      </c>
      <c r="E98">
        <f>COUNTIFS(C2:C89,"alice")</f>
        <v>18</v>
      </c>
    </row>
    <row r="100" spans="3:14" x14ac:dyDescent="0.3">
      <c r="E100" t="s">
        <v>64</v>
      </c>
      <c r="F100">
        <f>COUNTIF(F3:F90,"food")</f>
        <v>22</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Autofit">
                <anchor moveWithCells="1">
                  <from>
                    <xdr:col>1</xdr:col>
                    <xdr:colOff>76200</xdr:colOff>
                    <xdr:row>90</xdr:row>
                    <xdr:rowOff>167640</xdr:rowOff>
                  </from>
                  <to>
                    <xdr:col>1</xdr:col>
                    <xdr:colOff>594360</xdr:colOff>
                    <xdr:row>92</xdr:row>
                    <xdr:rowOff>22860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3:C8"/>
  <sheetViews>
    <sheetView workbookViewId="0">
      <selection activeCell="H25" sqref="H25"/>
    </sheetView>
  </sheetViews>
  <sheetFormatPr defaultRowHeight="14.4" x14ac:dyDescent="0.3"/>
  <cols>
    <col min="1" max="1" width="12.5546875" bestFit="1" customWidth="1"/>
    <col min="2" max="2" width="19.77734375" bestFit="1" customWidth="1"/>
    <col min="3" max="4" width="12.109375" bestFit="1" customWidth="1"/>
  </cols>
  <sheetData>
    <row r="3" spans="1:3" x14ac:dyDescent="0.3">
      <c r="A3" s="6" t="s">
        <v>66</v>
      </c>
      <c r="B3" t="s">
        <v>68</v>
      </c>
      <c r="C3" t="s">
        <v>70</v>
      </c>
    </row>
    <row r="4" spans="1:3" x14ac:dyDescent="0.3">
      <c r="A4" s="7" t="s">
        <v>24</v>
      </c>
      <c r="B4" s="8">
        <v>121343.35000000002</v>
      </c>
      <c r="C4" s="8">
        <v>129559.15000000002</v>
      </c>
    </row>
    <row r="5" spans="1:3" x14ac:dyDescent="0.3">
      <c r="A5" s="7" t="s">
        <v>17</v>
      </c>
      <c r="B5" s="8">
        <v>112057.86</v>
      </c>
      <c r="C5" s="8">
        <v>147799.87000000002</v>
      </c>
    </row>
    <row r="6" spans="1:3" x14ac:dyDescent="0.3">
      <c r="A6" s="7" t="s">
        <v>29</v>
      </c>
      <c r="B6" s="8">
        <v>91447.269999999975</v>
      </c>
      <c r="C6" s="8">
        <v>152494.62999999998</v>
      </c>
    </row>
    <row r="7" spans="1:3" x14ac:dyDescent="0.3">
      <c r="A7" s="7" t="s">
        <v>34</v>
      </c>
      <c r="B7" s="8">
        <v>93234.520000000019</v>
      </c>
      <c r="C7" s="8">
        <v>138066.94999999998</v>
      </c>
    </row>
    <row r="8" spans="1:3" x14ac:dyDescent="0.3">
      <c r="A8" s="7" t="s">
        <v>67</v>
      </c>
      <c r="B8" s="8">
        <v>418083</v>
      </c>
      <c r="C8" s="8">
        <v>567920.6</v>
      </c>
    </row>
  </sheetData>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S24"/>
  <sheetViews>
    <sheetView showGridLines="0" zoomScaleNormal="100" workbookViewId="0">
      <selection activeCell="Q1" sqref="Q1"/>
    </sheetView>
  </sheetViews>
  <sheetFormatPr defaultRowHeight="14.4" x14ac:dyDescent="0.3"/>
  <cols>
    <col min="1" max="6" width="8.88671875" style="9"/>
    <col min="7" max="8" width="17.88671875" style="9" customWidth="1"/>
    <col min="9" max="18" width="8.88671875" style="9"/>
    <col min="19" max="19" width="28.21875" style="9" customWidth="1"/>
    <col min="20" max="20" width="9.5546875" customWidth="1"/>
  </cols>
  <sheetData>
    <row r="1" spans="3:16" s="10" customFormat="1" ht="33.6" customHeight="1" x14ac:dyDescent="0.7">
      <c r="C1" s="29" t="s">
        <v>99</v>
      </c>
      <c r="D1" s="28"/>
      <c r="E1" s="28"/>
      <c r="F1" s="28"/>
      <c r="G1" s="28"/>
      <c r="H1" s="28"/>
      <c r="I1" s="28"/>
      <c r="J1" s="28"/>
      <c r="K1" s="28"/>
      <c r="L1" s="28"/>
      <c r="M1" s="28"/>
      <c r="N1" s="28"/>
      <c r="O1" s="28"/>
      <c r="P1" s="28"/>
    </row>
    <row r="22" spans="19:19" ht="15" thickBot="1" x14ac:dyDescent="0.35"/>
    <row r="23" spans="19:19" ht="15.6" thickTop="1" thickBot="1" x14ac:dyDescent="0.35">
      <c r="S23" s="11"/>
    </row>
    <row r="24" spans="19:19" ht="15" thickTop="1" x14ac:dyDescent="0.3"/>
  </sheetData>
  <mergeCells count="1">
    <mergeCell ref="C1:P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dimension ref="A3:C8"/>
  <sheetViews>
    <sheetView workbookViewId="0">
      <selection activeCell="B20" sqref="B20"/>
    </sheetView>
  </sheetViews>
  <sheetFormatPr defaultRowHeight="14.4" x14ac:dyDescent="0.3"/>
  <cols>
    <col min="1" max="1" width="12.5546875" bestFit="1" customWidth="1"/>
    <col min="2" max="2" width="19.77734375" bestFit="1" customWidth="1"/>
    <col min="3" max="3" width="19.6640625" bestFit="1" customWidth="1"/>
  </cols>
  <sheetData>
    <row r="3" spans="1:3" x14ac:dyDescent="0.3">
      <c r="A3" s="6" t="s">
        <v>66</v>
      </c>
      <c r="B3" t="s">
        <v>68</v>
      </c>
      <c r="C3" t="s">
        <v>69</v>
      </c>
    </row>
    <row r="4" spans="1:3" x14ac:dyDescent="0.3">
      <c r="A4" s="7" t="s">
        <v>18</v>
      </c>
      <c r="B4" s="8">
        <v>105328.20999999999</v>
      </c>
      <c r="C4" s="8">
        <v>637</v>
      </c>
    </row>
    <row r="5" spans="1:3" x14ac:dyDescent="0.3">
      <c r="A5" s="7" t="s">
        <v>25</v>
      </c>
      <c r="B5" s="8">
        <v>77118.12999999999</v>
      </c>
      <c r="C5" s="8">
        <v>441</v>
      </c>
    </row>
    <row r="6" spans="1:3" x14ac:dyDescent="0.3">
      <c r="A6" s="7" t="s">
        <v>35</v>
      </c>
      <c r="B6" s="8">
        <v>121774.81999999999</v>
      </c>
      <c r="C6" s="8">
        <v>615</v>
      </c>
    </row>
    <row r="7" spans="1:3" x14ac:dyDescent="0.3">
      <c r="A7" s="7" t="s">
        <v>30</v>
      </c>
      <c r="B7" s="8">
        <v>113861.84000000001</v>
      </c>
      <c r="C7" s="8">
        <v>646.33000000000004</v>
      </c>
    </row>
    <row r="8" spans="1:3" x14ac:dyDescent="0.3">
      <c r="A8" s="7" t="s">
        <v>67</v>
      </c>
      <c r="B8" s="8">
        <v>418083</v>
      </c>
      <c r="C8" s="8">
        <v>2339.33</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8"/>
  <dimension ref="A3:B16"/>
  <sheetViews>
    <sheetView workbookViewId="0">
      <selection activeCell="K11" sqref="K11"/>
    </sheetView>
  </sheetViews>
  <sheetFormatPr defaultRowHeight="14.4" x14ac:dyDescent="0.3"/>
  <cols>
    <col min="1" max="1" width="12.5546875" bestFit="1" customWidth="1"/>
    <col min="2" max="2" width="19.77734375" bestFit="1" customWidth="1"/>
  </cols>
  <sheetData>
    <row r="3" spans="1:2" x14ac:dyDescent="0.3">
      <c r="A3" s="6" t="s">
        <v>66</v>
      </c>
      <c r="B3" t="s">
        <v>68</v>
      </c>
    </row>
    <row r="4" spans="1:2" x14ac:dyDescent="0.3">
      <c r="A4" s="7" t="s">
        <v>71</v>
      </c>
      <c r="B4" s="8">
        <v>51461.819999999992</v>
      </c>
    </row>
    <row r="5" spans="1:2" x14ac:dyDescent="0.3">
      <c r="A5" s="7" t="s">
        <v>72</v>
      </c>
      <c r="B5" s="8">
        <v>29305.320000000007</v>
      </c>
    </row>
    <row r="6" spans="1:2" x14ac:dyDescent="0.3">
      <c r="A6" s="7" t="s">
        <v>73</v>
      </c>
      <c r="B6" s="8">
        <v>45592.06</v>
      </c>
    </row>
    <row r="7" spans="1:2" x14ac:dyDescent="0.3">
      <c r="A7" s="7" t="s">
        <v>74</v>
      </c>
      <c r="B7" s="8">
        <v>8417.51</v>
      </c>
    </row>
    <row r="8" spans="1:2" x14ac:dyDescent="0.3">
      <c r="A8" s="7" t="s">
        <v>75</v>
      </c>
      <c r="B8" s="8">
        <v>42683.040000000001</v>
      </c>
    </row>
    <row r="9" spans="1:2" x14ac:dyDescent="0.3">
      <c r="A9" s="7" t="s">
        <v>76</v>
      </c>
      <c r="B9" s="8">
        <v>37820.97</v>
      </c>
    </row>
    <row r="10" spans="1:2" x14ac:dyDescent="0.3">
      <c r="A10" s="7" t="s">
        <v>77</v>
      </c>
      <c r="B10" s="8">
        <v>19600.04</v>
      </c>
    </row>
    <row r="11" spans="1:2" x14ac:dyDescent="0.3">
      <c r="A11" s="7" t="s">
        <v>78</v>
      </c>
      <c r="B11" s="8">
        <v>17005.5</v>
      </c>
    </row>
    <row r="12" spans="1:2" x14ac:dyDescent="0.3">
      <c r="A12" s="7" t="s">
        <v>79</v>
      </c>
      <c r="B12" s="8">
        <v>46822.04</v>
      </c>
    </row>
    <row r="13" spans="1:2" x14ac:dyDescent="0.3">
      <c r="A13" s="7" t="s">
        <v>80</v>
      </c>
      <c r="B13" s="8">
        <v>36769.22</v>
      </c>
    </row>
    <row r="14" spans="1:2" x14ac:dyDescent="0.3">
      <c r="A14" s="7" t="s">
        <v>81</v>
      </c>
      <c r="B14" s="8">
        <v>59418.250000000007</v>
      </c>
    </row>
    <row r="15" spans="1:2" x14ac:dyDescent="0.3">
      <c r="A15" s="7" t="s">
        <v>82</v>
      </c>
      <c r="B15" s="8">
        <v>23187.23</v>
      </c>
    </row>
    <row r="16" spans="1:2" x14ac:dyDescent="0.3">
      <c r="A16" s="7" t="s">
        <v>67</v>
      </c>
      <c r="B16" s="8">
        <v>418083</v>
      </c>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3:C7"/>
  <sheetViews>
    <sheetView workbookViewId="0">
      <selection activeCell="K18" sqref="K18"/>
    </sheetView>
  </sheetViews>
  <sheetFormatPr defaultRowHeight="14.4" x14ac:dyDescent="0.3"/>
  <cols>
    <col min="1" max="1" width="12.5546875" bestFit="1" customWidth="1"/>
    <col min="2" max="2" width="17" bestFit="1" customWidth="1"/>
    <col min="3" max="3" width="19.77734375" bestFit="1" customWidth="1"/>
  </cols>
  <sheetData>
    <row r="3" spans="1:3" x14ac:dyDescent="0.3">
      <c r="A3" s="6" t="s">
        <v>66</v>
      </c>
      <c r="B3" t="s">
        <v>83</v>
      </c>
      <c r="C3" t="s">
        <v>68</v>
      </c>
    </row>
    <row r="4" spans="1:3" x14ac:dyDescent="0.3">
      <c r="A4" s="7" t="s">
        <v>31</v>
      </c>
      <c r="B4" s="8">
        <v>39976</v>
      </c>
      <c r="C4" s="8">
        <v>197881.26999999996</v>
      </c>
    </row>
    <row r="5" spans="1:3" x14ac:dyDescent="0.3">
      <c r="A5" s="7" t="s">
        <v>21</v>
      </c>
      <c r="B5" s="8">
        <v>26083</v>
      </c>
      <c r="C5" s="8">
        <v>107416.59</v>
      </c>
    </row>
    <row r="6" spans="1:3" x14ac:dyDescent="0.3">
      <c r="A6" s="7" t="s">
        <v>42</v>
      </c>
      <c r="B6" s="8">
        <v>26273</v>
      </c>
      <c r="C6" s="8">
        <v>112785.14</v>
      </c>
    </row>
    <row r="7" spans="1:3" x14ac:dyDescent="0.3">
      <c r="A7" s="7" t="s">
        <v>67</v>
      </c>
      <c r="B7" s="8">
        <v>92332</v>
      </c>
      <c r="C7" s="8">
        <v>418083</v>
      </c>
    </row>
  </sheetData>
  <pageMargins left="0.7" right="0.7" top="0.75" bottom="0.75" header="0.3" footer="0.3"/>
  <pageSetup orientation="portrait" r:id="rId2"/>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dimension ref="A3:F8"/>
  <sheetViews>
    <sheetView workbookViewId="0">
      <selection activeCell="K20" sqref="K20"/>
    </sheetView>
  </sheetViews>
  <sheetFormatPr defaultRowHeight="14.4" x14ac:dyDescent="0.3"/>
  <cols>
    <col min="1" max="1" width="19.77734375" bestFit="1" customWidth="1"/>
    <col min="2" max="2" width="15.5546875" bestFit="1" customWidth="1"/>
    <col min="3" max="3" width="10" bestFit="1" customWidth="1"/>
    <col min="4" max="5" width="9" bestFit="1" customWidth="1"/>
    <col min="6" max="6" width="10.77734375" bestFit="1" customWidth="1"/>
  </cols>
  <sheetData>
    <row r="3" spans="1:6" x14ac:dyDescent="0.3">
      <c r="A3" s="6" t="s">
        <v>68</v>
      </c>
      <c r="B3" s="6" t="s">
        <v>84</v>
      </c>
    </row>
    <row r="4" spans="1:6" x14ac:dyDescent="0.3">
      <c r="A4" s="6" t="s">
        <v>66</v>
      </c>
      <c r="B4" t="s">
        <v>24</v>
      </c>
      <c r="C4" t="s">
        <v>17</v>
      </c>
      <c r="D4" t="s">
        <v>29</v>
      </c>
      <c r="E4" t="s">
        <v>34</v>
      </c>
      <c r="F4" t="s">
        <v>67</v>
      </c>
    </row>
    <row r="5" spans="1:6" x14ac:dyDescent="0.3">
      <c r="A5" s="7" t="s">
        <v>31</v>
      </c>
      <c r="B5" s="8">
        <v>45364.829999999994</v>
      </c>
      <c r="C5" s="8">
        <v>47119.619999999995</v>
      </c>
      <c r="D5" s="8">
        <v>58166.36</v>
      </c>
      <c r="E5" s="8">
        <v>47230.46</v>
      </c>
      <c r="F5" s="8">
        <v>197881.27</v>
      </c>
    </row>
    <row r="6" spans="1:6" x14ac:dyDescent="0.3">
      <c r="A6" s="7" t="s">
        <v>21</v>
      </c>
      <c r="B6" s="8">
        <v>19575.829999999998</v>
      </c>
      <c r="C6" s="8">
        <v>40030.680000000008</v>
      </c>
      <c r="D6" s="8">
        <v>25105.22</v>
      </c>
      <c r="E6" s="8">
        <v>22704.859999999997</v>
      </c>
      <c r="F6" s="8">
        <v>107416.59000000001</v>
      </c>
    </row>
    <row r="7" spans="1:6" x14ac:dyDescent="0.3">
      <c r="A7" s="7" t="s">
        <v>42</v>
      </c>
      <c r="B7" s="8">
        <v>56402.69</v>
      </c>
      <c r="C7" s="8">
        <v>24907.56</v>
      </c>
      <c r="D7" s="8">
        <v>8175.6900000000005</v>
      </c>
      <c r="E7" s="8">
        <v>23299.200000000001</v>
      </c>
      <c r="F7" s="8">
        <v>112785.14</v>
      </c>
    </row>
    <row r="8" spans="1:6" x14ac:dyDescent="0.3">
      <c r="A8" s="7" t="s">
        <v>67</v>
      </c>
      <c r="B8" s="8">
        <v>121343.34999999999</v>
      </c>
      <c r="C8" s="8">
        <v>112057.86</v>
      </c>
      <c r="D8" s="8">
        <v>91447.27</v>
      </c>
      <c r="E8" s="8">
        <v>93234.51999999999</v>
      </c>
      <c r="F8" s="8">
        <v>418083</v>
      </c>
    </row>
  </sheetData>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dimension ref="A3:F7"/>
  <sheetViews>
    <sheetView workbookViewId="0">
      <selection activeCell="L18" sqref="L18"/>
    </sheetView>
  </sheetViews>
  <sheetFormatPr defaultRowHeight="14.4" x14ac:dyDescent="0.3"/>
  <cols>
    <col min="1" max="1" width="19.77734375" bestFit="1" customWidth="1"/>
    <col min="2" max="2" width="15.5546875" bestFit="1" customWidth="1"/>
    <col min="3" max="3" width="10" bestFit="1" customWidth="1"/>
    <col min="4" max="5" width="9" bestFit="1" customWidth="1"/>
    <col min="6" max="6" width="10.77734375" bestFit="1" customWidth="1"/>
  </cols>
  <sheetData>
    <row r="3" spans="1:6" x14ac:dyDescent="0.3">
      <c r="A3" s="6" t="s">
        <v>68</v>
      </c>
      <c r="B3" s="6" t="s">
        <v>84</v>
      </c>
    </row>
    <row r="4" spans="1:6" x14ac:dyDescent="0.3">
      <c r="A4" s="6" t="s">
        <v>66</v>
      </c>
      <c r="B4" t="s">
        <v>24</v>
      </c>
      <c r="C4" t="s">
        <v>17</v>
      </c>
      <c r="D4" t="s">
        <v>29</v>
      </c>
      <c r="E4" t="s">
        <v>34</v>
      </c>
      <c r="F4" t="s">
        <v>67</v>
      </c>
    </row>
    <row r="5" spans="1:6" x14ac:dyDescent="0.3">
      <c r="A5" s="7" t="s">
        <v>27</v>
      </c>
      <c r="B5" s="8">
        <v>64225.760000000002</v>
      </c>
      <c r="C5" s="8">
        <v>63838.729999999996</v>
      </c>
      <c r="D5" s="8">
        <v>53398.8</v>
      </c>
      <c r="E5" s="8">
        <v>43512.95</v>
      </c>
      <c r="F5" s="8">
        <v>224976.24</v>
      </c>
    </row>
    <row r="6" spans="1:6" x14ac:dyDescent="0.3">
      <c r="A6" s="7" t="s">
        <v>20</v>
      </c>
      <c r="B6" s="8">
        <v>57117.59</v>
      </c>
      <c r="C6" s="8">
        <v>48219.13</v>
      </c>
      <c r="D6" s="8">
        <v>38048.47</v>
      </c>
      <c r="E6" s="8">
        <v>49721.57</v>
      </c>
      <c r="F6" s="8">
        <v>193106.76</v>
      </c>
    </row>
    <row r="7" spans="1:6" x14ac:dyDescent="0.3">
      <c r="A7" s="7" t="s">
        <v>67</v>
      </c>
      <c r="B7" s="8">
        <v>121343.35</v>
      </c>
      <c r="C7" s="8">
        <v>112057.85999999999</v>
      </c>
      <c r="D7" s="8">
        <v>91447.27</v>
      </c>
      <c r="E7" s="8">
        <v>93234.51999999999</v>
      </c>
      <c r="F7" s="8">
        <v>418083</v>
      </c>
    </row>
  </sheetData>
  <pageMargins left="0.7" right="0.7" top="0.75" bottom="0.75" header="0.3" footer="0.3"/>
  <pageSetup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dimension ref="A1:P89"/>
  <sheetViews>
    <sheetView zoomScale="91" workbookViewId="0">
      <selection activeCell="E1" sqref="E1"/>
    </sheetView>
  </sheetViews>
  <sheetFormatPr defaultRowHeight="14.4" x14ac:dyDescent="0.3"/>
  <cols>
    <col min="1" max="1" width="12.33203125" customWidth="1"/>
    <col min="2" max="2" width="16" customWidth="1"/>
    <col min="3" max="3" width="13.77734375" customWidth="1"/>
    <col min="4" max="4" width="8.6640625" customWidth="1"/>
    <col min="5" max="5" width="21" customWidth="1"/>
    <col min="6" max="6" width="20.44140625" customWidth="1"/>
    <col min="7" max="7" width="15" customWidth="1"/>
    <col min="8" max="8" width="12.6640625" customWidth="1"/>
    <col min="9" max="9" width="11.5546875" customWidth="1"/>
    <col min="10" max="10" width="13.21875" customWidth="1"/>
    <col min="11" max="11" width="10.21875" customWidth="1"/>
    <col min="12" max="12" width="13.21875" customWidth="1"/>
    <col min="13" max="13" width="16.109375" customWidth="1"/>
    <col min="14" max="14" width="18.21875" customWidth="1"/>
    <col min="15" max="15" width="15" customWidth="1"/>
    <col min="16" max="16" width="22.33203125" customWidth="1"/>
  </cols>
  <sheetData>
    <row r="1" spans="1:16" x14ac:dyDescent="0.3">
      <c r="A1" s="4" t="s">
        <v>0</v>
      </c>
      <c r="B1" s="4" t="s">
        <v>1</v>
      </c>
      <c r="C1" s="4" t="s">
        <v>2</v>
      </c>
      <c r="D1" s="4" t="s">
        <v>3</v>
      </c>
      <c r="E1" s="4" t="s">
        <v>4</v>
      </c>
      <c r="F1" s="4" t="s">
        <v>5</v>
      </c>
      <c r="G1" s="5" t="s">
        <v>6</v>
      </c>
      <c r="H1" s="5" t="s">
        <v>7</v>
      </c>
      <c r="I1" s="5" t="s">
        <v>8</v>
      </c>
      <c r="J1" s="5" t="s">
        <v>9</v>
      </c>
      <c r="K1" s="5" t="s">
        <v>10</v>
      </c>
      <c r="L1" s="4" t="s">
        <v>11</v>
      </c>
      <c r="M1" s="4" t="s">
        <v>12</v>
      </c>
      <c r="N1" s="4" t="s">
        <v>13</v>
      </c>
      <c r="O1" s="4" t="s">
        <v>14</v>
      </c>
      <c r="P1" s="4" t="s">
        <v>15</v>
      </c>
    </row>
    <row r="2" spans="1:16" x14ac:dyDescent="0.3">
      <c r="A2">
        <v>1008</v>
      </c>
      <c r="B2" s="1">
        <v>44927</v>
      </c>
      <c r="C2" t="s">
        <v>16</v>
      </c>
      <c r="D2" t="s">
        <v>17</v>
      </c>
      <c r="E2">
        <v>38</v>
      </c>
      <c r="F2" t="s">
        <v>18</v>
      </c>
      <c r="G2" s="2">
        <v>5227.8100000000004</v>
      </c>
      <c r="H2" s="2">
        <v>4635.2299999999996</v>
      </c>
      <c r="I2" s="2">
        <v>5075.4399999999996</v>
      </c>
      <c r="J2" s="2">
        <v>16727.98</v>
      </c>
      <c r="K2" s="2">
        <v>0.05</v>
      </c>
      <c r="L2" t="str">
        <f>IF(G2:G89&gt;=5000, "High Profit","Low Profit")</f>
        <v>High Profit</v>
      </c>
      <c r="M2" t="s">
        <v>20</v>
      </c>
      <c r="N2" t="s">
        <v>21</v>
      </c>
      <c r="O2" t="s">
        <v>22</v>
      </c>
      <c r="P2" t="s">
        <v>23</v>
      </c>
    </row>
    <row r="3" spans="1:16" x14ac:dyDescent="0.3">
      <c r="A3">
        <v>1064</v>
      </c>
      <c r="B3" s="1">
        <v>44930</v>
      </c>
      <c r="C3" t="s">
        <v>16</v>
      </c>
      <c r="D3" t="s">
        <v>24</v>
      </c>
      <c r="E3">
        <v>10</v>
      </c>
      <c r="F3" t="s">
        <v>25</v>
      </c>
      <c r="G3" s="2">
        <v>7412.11</v>
      </c>
      <c r="H3" s="2">
        <v>4764.96</v>
      </c>
      <c r="I3" s="2">
        <v>5074.42</v>
      </c>
      <c r="J3" s="2">
        <v>3094.6</v>
      </c>
      <c r="K3" s="2">
        <v>0.12</v>
      </c>
      <c r="L3" t="s">
        <v>26</v>
      </c>
      <c r="M3" t="s">
        <v>27</v>
      </c>
      <c r="N3" t="s">
        <v>21</v>
      </c>
      <c r="O3" t="s">
        <v>22</v>
      </c>
      <c r="P3" t="s">
        <v>28</v>
      </c>
    </row>
    <row r="4" spans="1:16" x14ac:dyDescent="0.3">
      <c r="A4">
        <v>1087</v>
      </c>
      <c r="B4" s="1">
        <v>44932</v>
      </c>
      <c r="C4" t="s">
        <v>16</v>
      </c>
      <c r="D4" t="s">
        <v>29</v>
      </c>
      <c r="E4">
        <v>46</v>
      </c>
      <c r="F4" t="s">
        <v>30</v>
      </c>
      <c r="G4" s="2">
        <v>7698.92</v>
      </c>
      <c r="H4" s="2">
        <v>3702.51</v>
      </c>
      <c r="I4" s="2">
        <v>3964.65</v>
      </c>
      <c r="J4" s="2">
        <v>12058.44</v>
      </c>
      <c r="K4" s="2">
        <v>0.12</v>
      </c>
      <c r="L4" t="s">
        <v>19</v>
      </c>
      <c r="M4" t="s">
        <v>27</v>
      </c>
      <c r="N4" t="s">
        <v>31</v>
      </c>
      <c r="O4" t="s">
        <v>22</v>
      </c>
      <c r="P4" t="s">
        <v>32</v>
      </c>
    </row>
    <row r="5" spans="1:16" x14ac:dyDescent="0.3">
      <c r="A5">
        <v>1094</v>
      </c>
      <c r="B5" s="1">
        <v>44936</v>
      </c>
      <c r="C5" t="s">
        <v>16</v>
      </c>
      <c r="D5" t="s">
        <v>17</v>
      </c>
      <c r="E5">
        <v>25</v>
      </c>
      <c r="F5" t="s">
        <v>25</v>
      </c>
      <c r="G5" s="2">
        <v>2548.67</v>
      </c>
      <c r="H5" s="2">
        <v>1933.39</v>
      </c>
      <c r="I5" s="2">
        <v>1982.92</v>
      </c>
      <c r="J5" s="2">
        <v>1238.25</v>
      </c>
      <c r="K5" s="2">
        <v>0.17</v>
      </c>
      <c r="L5" t="s">
        <v>26</v>
      </c>
      <c r="M5" t="s">
        <v>27</v>
      </c>
      <c r="N5" t="s">
        <v>31</v>
      </c>
      <c r="O5" t="s">
        <v>22</v>
      </c>
      <c r="P5" t="s">
        <v>23</v>
      </c>
    </row>
    <row r="6" spans="1:16" x14ac:dyDescent="0.3">
      <c r="A6">
        <v>1027</v>
      </c>
      <c r="B6" s="1">
        <v>44941</v>
      </c>
      <c r="C6" t="s">
        <v>33</v>
      </c>
      <c r="D6" t="s">
        <v>34</v>
      </c>
      <c r="E6">
        <v>26</v>
      </c>
      <c r="F6" t="s">
        <v>35</v>
      </c>
      <c r="G6" s="2">
        <v>6261.2</v>
      </c>
      <c r="H6" s="2">
        <v>149.11000000000001</v>
      </c>
      <c r="I6" s="2">
        <v>477.67</v>
      </c>
      <c r="J6" s="2">
        <v>8542.56</v>
      </c>
      <c r="K6" s="2">
        <v>0.14000000000000001</v>
      </c>
      <c r="L6" t="s">
        <v>19</v>
      </c>
      <c r="M6" t="s">
        <v>20</v>
      </c>
      <c r="N6" t="s">
        <v>21</v>
      </c>
      <c r="O6" t="s">
        <v>36</v>
      </c>
      <c r="P6" t="s">
        <v>37</v>
      </c>
    </row>
    <row r="7" spans="1:16" x14ac:dyDescent="0.3">
      <c r="A7">
        <v>1046</v>
      </c>
      <c r="B7" s="1">
        <v>44946</v>
      </c>
      <c r="C7" t="s">
        <v>16</v>
      </c>
      <c r="D7" t="s">
        <v>24</v>
      </c>
      <c r="E7">
        <v>43</v>
      </c>
      <c r="F7" t="s">
        <v>18</v>
      </c>
      <c r="G7" s="2">
        <v>4104.82</v>
      </c>
      <c r="H7" s="2">
        <v>4052.42</v>
      </c>
      <c r="I7" s="2">
        <v>4199.3</v>
      </c>
      <c r="J7" s="2">
        <v>6315.84</v>
      </c>
      <c r="K7" s="2">
        <v>0.1</v>
      </c>
      <c r="L7" t="s">
        <v>19</v>
      </c>
      <c r="M7" t="s">
        <v>27</v>
      </c>
      <c r="N7" t="s">
        <v>31</v>
      </c>
      <c r="O7" t="s">
        <v>36</v>
      </c>
      <c r="P7" t="s">
        <v>28</v>
      </c>
    </row>
    <row r="8" spans="1:16" x14ac:dyDescent="0.3">
      <c r="A8">
        <v>1037</v>
      </c>
      <c r="B8" s="1">
        <v>44949</v>
      </c>
      <c r="C8" t="s">
        <v>33</v>
      </c>
      <c r="D8" t="s">
        <v>17</v>
      </c>
      <c r="E8">
        <v>40</v>
      </c>
      <c r="F8" t="s">
        <v>18</v>
      </c>
      <c r="G8" s="2">
        <v>9813.81</v>
      </c>
      <c r="H8" s="2">
        <v>2790.11</v>
      </c>
      <c r="I8" s="2">
        <v>3192.37</v>
      </c>
      <c r="J8" s="2">
        <v>16090.4</v>
      </c>
      <c r="K8" s="2">
        <v>0.26</v>
      </c>
      <c r="L8" t="s">
        <v>19</v>
      </c>
      <c r="M8" t="s">
        <v>20</v>
      </c>
      <c r="N8" t="s">
        <v>31</v>
      </c>
      <c r="O8" t="s">
        <v>22</v>
      </c>
      <c r="P8" t="s">
        <v>38</v>
      </c>
    </row>
    <row r="9" spans="1:16" x14ac:dyDescent="0.3">
      <c r="A9">
        <v>1018</v>
      </c>
      <c r="B9" s="1">
        <v>44952</v>
      </c>
      <c r="C9" t="s">
        <v>39</v>
      </c>
      <c r="D9" t="s">
        <v>24</v>
      </c>
      <c r="E9">
        <v>11</v>
      </c>
      <c r="F9" t="s">
        <v>18</v>
      </c>
      <c r="G9" s="2">
        <v>3187.45</v>
      </c>
      <c r="H9" s="2">
        <v>2414.8200000000002</v>
      </c>
      <c r="I9" s="2">
        <v>2519.0700000000002</v>
      </c>
      <c r="J9" s="2">
        <v>1146.75</v>
      </c>
      <c r="K9" s="2">
        <v>0</v>
      </c>
      <c r="L9" t="s">
        <v>26</v>
      </c>
      <c r="M9" t="s">
        <v>20</v>
      </c>
      <c r="N9" t="s">
        <v>21</v>
      </c>
      <c r="O9" t="s">
        <v>22</v>
      </c>
      <c r="P9" t="s">
        <v>40</v>
      </c>
    </row>
    <row r="10" spans="1:16" x14ac:dyDescent="0.3">
      <c r="A10">
        <v>1042</v>
      </c>
      <c r="B10" s="1">
        <v>44957</v>
      </c>
      <c r="C10" t="s">
        <v>39</v>
      </c>
      <c r="D10" t="s">
        <v>17</v>
      </c>
      <c r="E10">
        <v>11</v>
      </c>
      <c r="F10" t="s">
        <v>35</v>
      </c>
      <c r="G10" s="2">
        <v>5207.03</v>
      </c>
      <c r="H10" s="2">
        <v>635.20000000000005</v>
      </c>
      <c r="I10" s="2">
        <v>814.14</v>
      </c>
      <c r="J10" s="2">
        <v>1968.34</v>
      </c>
      <c r="K10" s="2">
        <v>0.02</v>
      </c>
      <c r="L10" t="s">
        <v>26</v>
      </c>
      <c r="M10" t="s">
        <v>20</v>
      </c>
      <c r="N10" t="s">
        <v>21</v>
      </c>
      <c r="O10" t="s">
        <v>22</v>
      </c>
      <c r="P10" t="s">
        <v>41</v>
      </c>
    </row>
    <row r="11" spans="1:16" x14ac:dyDescent="0.3">
      <c r="A11">
        <v>1052</v>
      </c>
      <c r="B11" s="1">
        <v>44960</v>
      </c>
      <c r="C11" t="s">
        <v>33</v>
      </c>
      <c r="D11" t="s">
        <v>17</v>
      </c>
      <c r="E11">
        <v>18</v>
      </c>
      <c r="F11" t="s">
        <v>30</v>
      </c>
      <c r="G11" s="2">
        <v>5053.97</v>
      </c>
      <c r="H11" s="2">
        <v>152.75</v>
      </c>
      <c r="I11" s="2">
        <v>267.22000000000003</v>
      </c>
      <c r="J11" s="2">
        <v>2060.46</v>
      </c>
      <c r="K11" s="2">
        <v>0.09</v>
      </c>
      <c r="L11" t="s">
        <v>26</v>
      </c>
      <c r="M11" t="s">
        <v>20</v>
      </c>
      <c r="N11" t="s">
        <v>21</v>
      </c>
      <c r="O11" t="s">
        <v>22</v>
      </c>
      <c r="P11" t="s">
        <v>38</v>
      </c>
    </row>
    <row r="12" spans="1:16" x14ac:dyDescent="0.3">
      <c r="A12">
        <v>1026</v>
      </c>
      <c r="B12" s="1">
        <v>44961</v>
      </c>
      <c r="C12" t="s">
        <v>39</v>
      </c>
      <c r="D12" t="s">
        <v>34</v>
      </c>
      <c r="E12">
        <v>19</v>
      </c>
      <c r="F12" t="s">
        <v>25</v>
      </c>
      <c r="G12" s="2">
        <v>1554.93</v>
      </c>
      <c r="H12" s="2">
        <v>1265.48</v>
      </c>
      <c r="I12" s="2">
        <v>1715.83</v>
      </c>
      <c r="J12" s="2">
        <v>8556.65</v>
      </c>
      <c r="K12" s="2">
        <v>0.05</v>
      </c>
      <c r="L12" t="s">
        <v>19</v>
      </c>
      <c r="M12" t="s">
        <v>27</v>
      </c>
      <c r="N12" t="s">
        <v>42</v>
      </c>
      <c r="O12" t="s">
        <v>36</v>
      </c>
      <c r="P12" t="s">
        <v>43</v>
      </c>
    </row>
    <row r="13" spans="1:16" x14ac:dyDescent="0.3">
      <c r="A13">
        <v>1080</v>
      </c>
      <c r="B13" s="1">
        <v>44962</v>
      </c>
      <c r="C13" t="s">
        <v>44</v>
      </c>
      <c r="D13" t="s">
        <v>29</v>
      </c>
      <c r="E13">
        <v>9</v>
      </c>
      <c r="F13" t="s">
        <v>25</v>
      </c>
      <c r="G13" s="2">
        <v>245.46</v>
      </c>
      <c r="H13" s="2">
        <v>1141.52</v>
      </c>
      <c r="I13" s="2">
        <v>1550.19</v>
      </c>
      <c r="J13" s="2">
        <v>3678.03</v>
      </c>
      <c r="K13" s="2">
        <v>0.28000000000000003</v>
      </c>
      <c r="L13" t="s">
        <v>26</v>
      </c>
      <c r="M13" t="s">
        <v>27</v>
      </c>
      <c r="N13" t="s">
        <v>42</v>
      </c>
      <c r="O13" t="s">
        <v>36</v>
      </c>
      <c r="P13" t="s">
        <v>45</v>
      </c>
    </row>
    <row r="14" spans="1:16" x14ac:dyDescent="0.3">
      <c r="A14">
        <v>1081</v>
      </c>
      <c r="B14" s="1">
        <v>44964</v>
      </c>
      <c r="C14" t="s">
        <v>46</v>
      </c>
      <c r="D14" t="s">
        <v>24</v>
      </c>
      <c r="E14">
        <v>41</v>
      </c>
      <c r="F14" t="s">
        <v>30</v>
      </c>
      <c r="G14" s="2">
        <v>3068.03</v>
      </c>
      <c r="H14" s="2">
        <v>2782.08</v>
      </c>
      <c r="I14" s="2">
        <v>2879.24</v>
      </c>
      <c r="J14" s="2">
        <v>3983.56</v>
      </c>
      <c r="K14" s="2">
        <v>0.21</v>
      </c>
      <c r="L14" t="s">
        <v>26</v>
      </c>
      <c r="M14" t="s">
        <v>27</v>
      </c>
      <c r="N14" t="s">
        <v>31</v>
      </c>
      <c r="O14" t="s">
        <v>22</v>
      </c>
      <c r="P14" t="s">
        <v>47</v>
      </c>
    </row>
    <row r="15" spans="1:16" x14ac:dyDescent="0.3">
      <c r="A15">
        <v>1092</v>
      </c>
      <c r="B15" s="1">
        <v>44966</v>
      </c>
      <c r="C15" t="s">
        <v>46</v>
      </c>
      <c r="D15" t="s">
        <v>34</v>
      </c>
      <c r="E15">
        <v>34</v>
      </c>
      <c r="F15" t="s">
        <v>30</v>
      </c>
      <c r="G15" s="2">
        <v>2749.17</v>
      </c>
      <c r="H15" s="2">
        <v>2037.41</v>
      </c>
      <c r="I15" s="2">
        <v>2238.65</v>
      </c>
      <c r="J15" s="2">
        <v>6842.16</v>
      </c>
      <c r="K15" s="2">
        <v>0.3</v>
      </c>
      <c r="L15" t="s">
        <v>19</v>
      </c>
      <c r="M15" t="s">
        <v>27</v>
      </c>
      <c r="N15" t="s">
        <v>42</v>
      </c>
      <c r="O15" t="s">
        <v>22</v>
      </c>
      <c r="P15" t="s">
        <v>48</v>
      </c>
    </row>
    <row r="16" spans="1:16" x14ac:dyDescent="0.3">
      <c r="A16">
        <v>1021</v>
      </c>
      <c r="B16" s="1">
        <v>44968</v>
      </c>
      <c r="C16" t="s">
        <v>44</v>
      </c>
      <c r="D16" t="s">
        <v>34</v>
      </c>
      <c r="E16">
        <v>32</v>
      </c>
      <c r="F16" t="s">
        <v>35</v>
      </c>
      <c r="G16" s="2">
        <v>3761.15</v>
      </c>
      <c r="H16" s="2">
        <v>900.79</v>
      </c>
      <c r="I16" s="2">
        <v>1106.51</v>
      </c>
      <c r="J16" s="2">
        <v>6583.04</v>
      </c>
      <c r="K16" s="2">
        <v>0.21</v>
      </c>
      <c r="L16" t="s">
        <v>19</v>
      </c>
      <c r="M16" t="s">
        <v>27</v>
      </c>
      <c r="N16" t="s">
        <v>21</v>
      </c>
      <c r="O16" t="s">
        <v>22</v>
      </c>
      <c r="P16" t="s">
        <v>49</v>
      </c>
    </row>
    <row r="17" spans="1:16" x14ac:dyDescent="0.3">
      <c r="A17">
        <v>1044</v>
      </c>
      <c r="B17" s="1">
        <v>44973</v>
      </c>
      <c r="C17" t="s">
        <v>46</v>
      </c>
      <c r="D17" t="s">
        <v>29</v>
      </c>
      <c r="E17">
        <v>22</v>
      </c>
      <c r="F17" t="s">
        <v>35</v>
      </c>
      <c r="G17" s="2">
        <v>7754.1</v>
      </c>
      <c r="H17" s="2">
        <v>3373.46</v>
      </c>
      <c r="I17" s="2">
        <v>3454.76</v>
      </c>
      <c r="J17" s="2">
        <v>1788.6</v>
      </c>
      <c r="K17" s="2">
        <v>0.22</v>
      </c>
      <c r="L17" t="s">
        <v>26</v>
      </c>
      <c r="M17" t="s">
        <v>20</v>
      </c>
      <c r="N17" t="s">
        <v>31</v>
      </c>
      <c r="O17" t="s">
        <v>36</v>
      </c>
      <c r="P17" t="s">
        <v>50</v>
      </c>
    </row>
    <row r="18" spans="1:16" x14ac:dyDescent="0.3">
      <c r="A18">
        <v>1068</v>
      </c>
      <c r="B18" s="1">
        <v>44981</v>
      </c>
      <c r="C18" t="s">
        <v>33</v>
      </c>
      <c r="D18" t="s">
        <v>17</v>
      </c>
      <c r="E18">
        <v>22</v>
      </c>
      <c r="F18" t="s">
        <v>18</v>
      </c>
      <c r="G18" s="2">
        <v>5118.51</v>
      </c>
      <c r="H18" s="2">
        <v>3619.61</v>
      </c>
      <c r="I18" s="2">
        <v>3651.42</v>
      </c>
      <c r="J18" s="2">
        <v>699.82</v>
      </c>
      <c r="K18" s="2">
        <v>0.26</v>
      </c>
      <c r="L18" t="s">
        <v>26</v>
      </c>
      <c r="M18" t="s">
        <v>20</v>
      </c>
      <c r="N18" t="s">
        <v>31</v>
      </c>
      <c r="O18" t="s">
        <v>22</v>
      </c>
      <c r="P18" t="s">
        <v>38</v>
      </c>
    </row>
    <row r="19" spans="1:16" x14ac:dyDescent="0.3">
      <c r="A19">
        <v>1029</v>
      </c>
      <c r="B19" s="1">
        <v>44986</v>
      </c>
      <c r="C19" t="s">
        <v>46</v>
      </c>
      <c r="D19" t="s">
        <v>24</v>
      </c>
      <c r="E19">
        <v>28</v>
      </c>
      <c r="F19" t="s">
        <v>18</v>
      </c>
      <c r="G19" s="2">
        <v>6773.89</v>
      </c>
      <c r="H19" s="2">
        <v>2873.53</v>
      </c>
      <c r="I19" s="2">
        <v>3108.3</v>
      </c>
      <c r="J19" s="2">
        <v>6573.56</v>
      </c>
      <c r="K19" s="2">
        <v>0.15</v>
      </c>
      <c r="L19" t="s">
        <v>19</v>
      </c>
      <c r="M19" t="s">
        <v>27</v>
      </c>
      <c r="N19" t="s">
        <v>42</v>
      </c>
      <c r="O19" t="s">
        <v>36</v>
      </c>
      <c r="P19" t="s">
        <v>47</v>
      </c>
    </row>
    <row r="20" spans="1:16" x14ac:dyDescent="0.3">
      <c r="A20">
        <v>1007</v>
      </c>
      <c r="B20" s="1">
        <v>44988</v>
      </c>
      <c r="C20" t="s">
        <v>16</v>
      </c>
      <c r="D20" t="s">
        <v>34</v>
      </c>
      <c r="E20">
        <v>1</v>
      </c>
      <c r="F20" t="s">
        <v>35</v>
      </c>
      <c r="G20" s="2">
        <v>4694.54</v>
      </c>
      <c r="H20" s="2">
        <v>2543.2600000000002</v>
      </c>
      <c r="I20" s="2">
        <v>2637.91</v>
      </c>
      <c r="J20" s="2">
        <v>94.65</v>
      </c>
      <c r="K20" s="2">
        <v>0.2</v>
      </c>
      <c r="L20" t="s">
        <v>26</v>
      </c>
      <c r="M20" t="s">
        <v>20</v>
      </c>
      <c r="N20" t="s">
        <v>42</v>
      </c>
      <c r="O20" t="s">
        <v>22</v>
      </c>
      <c r="P20" t="s">
        <v>51</v>
      </c>
    </row>
    <row r="21" spans="1:16" x14ac:dyDescent="0.3">
      <c r="A21">
        <v>1099</v>
      </c>
      <c r="B21" s="1">
        <v>44989</v>
      </c>
      <c r="C21" t="s">
        <v>46</v>
      </c>
      <c r="D21" t="s">
        <v>24</v>
      </c>
      <c r="E21">
        <v>10</v>
      </c>
      <c r="F21" t="s">
        <v>30</v>
      </c>
      <c r="G21" s="2">
        <v>7952.11</v>
      </c>
      <c r="H21" s="2">
        <v>1531.2</v>
      </c>
      <c r="I21" s="2">
        <v>1955.56</v>
      </c>
      <c r="J21" s="2">
        <v>4243.6000000000004</v>
      </c>
      <c r="K21" s="2">
        <v>0</v>
      </c>
      <c r="L21" t="s">
        <v>26</v>
      </c>
      <c r="M21" t="s">
        <v>27</v>
      </c>
      <c r="N21" t="s">
        <v>42</v>
      </c>
      <c r="O21" t="s">
        <v>22</v>
      </c>
      <c r="P21" t="s">
        <v>47</v>
      </c>
    </row>
    <row r="22" spans="1:16" x14ac:dyDescent="0.3">
      <c r="A22">
        <v>1040</v>
      </c>
      <c r="B22" s="1">
        <v>44995</v>
      </c>
      <c r="C22" t="s">
        <v>44</v>
      </c>
      <c r="D22" t="s">
        <v>24</v>
      </c>
      <c r="E22">
        <v>13</v>
      </c>
      <c r="F22" t="s">
        <v>18</v>
      </c>
      <c r="G22" s="2">
        <v>2331.27</v>
      </c>
      <c r="H22" s="2">
        <v>2750.18</v>
      </c>
      <c r="I22" s="2">
        <v>2882.85</v>
      </c>
      <c r="J22" s="2">
        <v>1724.71</v>
      </c>
      <c r="K22" s="2">
        <v>0.24</v>
      </c>
      <c r="L22" t="s">
        <v>26</v>
      </c>
      <c r="M22" t="s">
        <v>20</v>
      </c>
      <c r="N22" t="s">
        <v>42</v>
      </c>
      <c r="O22" t="s">
        <v>22</v>
      </c>
      <c r="P22" t="s">
        <v>52</v>
      </c>
    </row>
    <row r="23" spans="1:16" x14ac:dyDescent="0.3">
      <c r="A23">
        <v>1038</v>
      </c>
      <c r="B23" s="1">
        <v>44996</v>
      </c>
      <c r="C23" t="s">
        <v>33</v>
      </c>
      <c r="D23" t="s">
        <v>29</v>
      </c>
      <c r="E23">
        <v>15</v>
      </c>
      <c r="F23" t="s">
        <v>18</v>
      </c>
      <c r="G23" s="2">
        <v>1452.35</v>
      </c>
      <c r="H23" s="2">
        <v>2543.36</v>
      </c>
      <c r="I23" s="2">
        <v>2790.1</v>
      </c>
      <c r="J23" s="2">
        <v>3701.1</v>
      </c>
      <c r="K23" s="2">
        <v>7.0000000000000007E-2</v>
      </c>
      <c r="L23" t="s">
        <v>26</v>
      </c>
      <c r="M23" t="s">
        <v>20</v>
      </c>
      <c r="N23" t="s">
        <v>21</v>
      </c>
      <c r="O23" t="s">
        <v>22</v>
      </c>
      <c r="P23" t="s">
        <v>53</v>
      </c>
    </row>
    <row r="24" spans="1:16" x14ac:dyDescent="0.3">
      <c r="A24">
        <v>1061</v>
      </c>
      <c r="B24" s="1">
        <v>45009</v>
      </c>
      <c r="C24" t="s">
        <v>44</v>
      </c>
      <c r="D24" t="s">
        <v>24</v>
      </c>
      <c r="E24">
        <v>13</v>
      </c>
      <c r="F24" t="s">
        <v>25</v>
      </c>
      <c r="G24" s="2">
        <v>3750.2</v>
      </c>
      <c r="H24" s="2">
        <v>637.37</v>
      </c>
      <c r="I24" s="2">
        <v>692.71</v>
      </c>
      <c r="J24" s="2">
        <v>719.42</v>
      </c>
      <c r="K24" s="2">
        <v>0.08</v>
      </c>
      <c r="L24" t="s">
        <v>26</v>
      </c>
      <c r="M24" t="s">
        <v>27</v>
      </c>
      <c r="N24" t="s">
        <v>42</v>
      </c>
      <c r="O24" t="s">
        <v>22</v>
      </c>
      <c r="P24" t="s">
        <v>52</v>
      </c>
    </row>
    <row r="25" spans="1:16" x14ac:dyDescent="0.3">
      <c r="A25">
        <v>1074</v>
      </c>
      <c r="B25" s="1">
        <v>45010</v>
      </c>
      <c r="C25" t="s">
        <v>16</v>
      </c>
      <c r="D25" t="s">
        <v>34</v>
      </c>
      <c r="E25">
        <v>38</v>
      </c>
      <c r="F25" t="s">
        <v>35</v>
      </c>
      <c r="G25" s="2">
        <v>7499.7</v>
      </c>
      <c r="H25" s="2">
        <v>2610.6</v>
      </c>
      <c r="I25" s="2">
        <v>2836.94</v>
      </c>
      <c r="J25" s="2">
        <v>8600.92</v>
      </c>
      <c r="K25" s="2">
        <v>0.19</v>
      </c>
      <c r="L25" t="s">
        <v>19</v>
      </c>
      <c r="M25" t="s">
        <v>20</v>
      </c>
      <c r="N25" t="s">
        <v>42</v>
      </c>
      <c r="O25" t="s">
        <v>22</v>
      </c>
      <c r="P25" t="s">
        <v>51</v>
      </c>
    </row>
    <row r="26" spans="1:16" x14ac:dyDescent="0.3">
      <c r="A26">
        <v>1005</v>
      </c>
      <c r="B26" s="1">
        <v>45015</v>
      </c>
      <c r="C26" t="s">
        <v>39</v>
      </c>
      <c r="D26" t="s">
        <v>24</v>
      </c>
      <c r="E26">
        <v>12</v>
      </c>
      <c r="F26" t="s">
        <v>25</v>
      </c>
      <c r="G26" s="2">
        <v>6828.24</v>
      </c>
      <c r="H26" s="2">
        <v>319.83</v>
      </c>
      <c r="I26" s="2">
        <v>802.43</v>
      </c>
      <c r="J26" s="2">
        <v>5791.2</v>
      </c>
      <c r="K26" s="2">
        <v>0.04</v>
      </c>
      <c r="L26" t="s">
        <v>19</v>
      </c>
      <c r="M26" t="s">
        <v>27</v>
      </c>
      <c r="N26" t="s">
        <v>42</v>
      </c>
      <c r="O26" t="s">
        <v>36</v>
      </c>
      <c r="P26" t="s">
        <v>40</v>
      </c>
    </row>
    <row r="27" spans="1:16" x14ac:dyDescent="0.3">
      <c r="A27">
        <v>1016</v>
      </c>
      <c r="B27" s="1">
        <v>45016</v>
      </c>
      <c r="C27" t="s">
        <v>16</v>
      </c>
      <c r="D27" t="s">
        <v>24</v>
      </c>
      <c r="E27">
        <v>38</v>
      </c>
      <c r="F27" t="s">
        <v>25</v>
      </c>
      <c r="G27" s="2">
        <v>4309.76</v>
      </c>
      <c r="H27" s="2">
        <v>3883.38</v>
      </c>
      <c r="I27" s="2">
        <v>4152.72</v>
      </c>
      <c r="J27" s="2">
        <v>10234.92</v>
      </c>
      <c r="K27" s="2">
        <v>0.26</v>
      </c>
      <c r="L27" t="s">
        <v>19</v>
      </c>
      <c r="M27" t="s">
        <v>20</v>
      </c>
      <c r="N27" t="s">
        <v>21</v>
      </c>
      <c r="O27" t="s">
        <v>22</v>
      </c>
      <c r="P27" t="s">
        <v>28</v>
      </c>
    </row>
    <row r="28" spans="1:16" x14ac:dyDescent="0.3">
      <c r="A28">
        <v>1058</v>
      </c>
      <c r="B28" s="1">
        <v>45021</v>
      </c>
      <c r="C28" t="s">
        <v>39</v>
      </c>
      <c r="D28" t="s">
        <v>17</v>
      </c>
      <c r="E28">
        <v>33</v>
      </c>
      <c r="F28" t="s">
        <v>30</v>
      </c>
      <c r="G28" s="2">
        <v>2072.23</v>
      </c>
      <c r="H28" s="2">
        <v>1011.65</v>
      </c>
      <c r="I28" s="2">
        <v>1084.28</v>
      </c>
      <c r="J28" s="2">
        <v>2396.79</v>
      </c>
      <c r="K28" s="2">
        <v>7.0000000000000007E-2</v>
      </c>
      <c r="L28" t="s">
        <v>26</v>
      </c>
      <c r="M28" t="s">
        <v>20</v>
      </c>
      <c r="N28" t="s">
        <v>31</v>
      </c>
      <c r="O28" t="s">
        <v>36</v>
      </c>
      <c r="P28" t="s">
        <v>41</v>
      </c>
    </row>
    <row r="29" spans="1:16" x14ac:dyDescent="0.3">
      <c r="A29">
        <v>1083</v>
      </c>
      <c r="B29" s="1">
        <v>45027</v>
      </c>
      <c r="C29" t="s">
        <v>33</v>
      </c>
      <c r="D29" t="s">
        <v>34</v>
      </c>
      <c r="E29">
        <v>29</v>
      </c>
      <c r="F29" t="s">
        <v>30</v>
      </c>
      <c r="G29" s="2">
        <v>618.30999999999995</v>
      </c>
      <c r="H29" s="2">
        <v>2408.81</v>
      </c>
      <c r="I29" s="2">
        <v>2624.09</v>
      </c>
      <c r="J29" s="2">
        <v>6243.12</v>
      </c>
      <c r="K29" s="2">
        <v>0.14000000000000001</v>
      </c>
      <c r="L29" t="s">
        <v>19</v>
      </c>
      <c r="M29" t="s">
        <v>20</v>
      </c>
      <c r="N29" t="s">
        <v>21</v>
      </c>
      <c r="O29" t="s">
        <v>22</v>
      </c>
      <c r="P29" t="s">
        <v>37</v>
      </c>
    </row>
    <row r="30" spans="1:16" x14ac:dyDescent="0.3">
      <c r="A30">
        <v>1093</v>
      </c>
      <c r="B30" s="1">
        <v>45037</v>
      </c>
      <c r="C30" t="s">
        <v>33</v>
      </c>
      <c r="D30" t="s">
        <v>34</v>
      </c>
      <c r="E30">
        <v>17</v>
      </c>
      <c r="F30" t="s">
        <v>30</v>
      </c>
      <c r="G30" s="2">
        <v>4384.0200000000004</v>
      </c>
      <c r="H30" s="2">
        <v>3816.39</v>
      </c>
      <c r="I30" s="2">
        <v>4209.4399999999996</v>
      </c>
      <c r="J30" s="2">
        <v>6681.85</v>
      </c>
      <c r="K30" s="2">
        <v>0.11</v>
      </c>
      <c r="L30" t="s">
        <v>19</v>
      </c>
      <c r="M30" t="s">
        <v>20</v>
      </c>
      <c r="N30" t="s">
        <v>21</v>
      </c>
      <c r="O30" t="s">
        <v>36</v>
      </c>
      <c r="P30" t="s">
        <v>37</v>
      </c>
    </row>
    <row r="31" spans="1:16" x14ac:dyDescent="0.3">
      <c r="A31">
        <v>1009</v>
      </c>
      <c r="B31" s="1">
        <v>45044</v>
      </c>
      <c r="C31" t="s">
        <v>39</v>
      </c>
      <c r="D31" t="s">
        <v>17</v>
      </c>
      <c r="E31">
        <v>33</v>
      </c>
      <c r="F31" t="s">
        <v>18</v>
      </c>
      <c r="G31" s="2">
        <v>1342.95</v>
      </c>
      <c r="H31" s="2">
        <v>2278.9</v>
      </c>
      <c r="I31" s="2">
        <v>2626.9</v>
      </c>
      <c r="J31" s="2">
        <v>11484</v>
      </c>
      <c r="K31" s="2">
        <v>0.05</v>
      </c>
      <c r="L31" t="s">
        <v>19</v>
      </c>
      <c r="M31" t="s">
        <v>27</v>
      </c>
      <c r="N31" t="s">
        <v>42</v>
      </c>
      <c r="O31" t="s">
        <v>22</v>
      </c>
      <c r="P31" t="s">
        <v>41</v>
      </c>
    </row>
    <row r="32" spans="1:16" x14ac:dyDescent="0.3">
      <c r="A32">
        <v>1056</v>
      </c>
      <c r="B32" s="1">
        <v>45053</v>
      </c>
      <c r="C32" t="s">
        <v>46</v>
      </c>
      <c r="D32" t="s">
        <v>24</v>
      </c>
      <c r="E32">
        <v>28</v>
      </c>
      <c r="F32" t="s">
        <v>18</v>
      </c>
      <c r="G32" s="2">
        <v>7611.88</v>
      </c>
      <c r="H32" s="2">
        <v>1566.03</v>
      </c>
      <c r="I32" s="2">
        <v>1576.34</v>
      </c>
      <c r="J32" s="2">
        <v>288.68</v>
      </c>
      <c r="K32" s="2">
        <v>0.2</v>
      </c>
      <c r="L32" t="s">
        <v>26</v>
      </c>
      <c r="M32" t="s">
        <v>20</v>
      </c>
      <c r="N32" t="s">
        <v>31</v>
      </c>
      <c r="O32" t="s">
        <v>22</v>
      </c>
      <c r="P32" t="s">
        <v>47</v>
      </c>
    </row>
    <row r="33" spans="1:16" x14ac:dyDescent="0.3">
      <c r="A33">
        <v>1034</v>
      </c>
      <c r="B33" s="1">
        <v>45056</v>
      </c>
      <c r="C33" t="s">
        <v>16</v>
      </c>
      <c r="D33" t="s">
        <v>24</v>
      </c>
      <c r="E33">
        <v>19</v>
      </c>
      <c r="F33" t="s">
        <v>18</v>
      </c>
      <c r="G33" s="2">
        <v>4892.3599999999997</v>
      </c>
      <c r="H33" s="2">
        <v>1922.21</v>
      </c>
      <c r="I33" s="2">
        <v>2180.83</v>
      </c>
      <c r="J33" s="2">
        <v>4913.78</v>
      </c>
      <c r="K33" s="2">
        <v>0.17</v>
      </c>
      <c r="L33" t="s">
        <v>26</v>
      </c>
      <c r="M33" t="s">
        <v>20</v>
      </c>
      <c r="N33" t="s">
        <v>42</v>
      </c>
      <c r="O33" t="s">
        <v>36</v>
      </c>
      <c r="P33" t="s">
        <v>28</v>
      </c>
    </row>
    <row r="34" spans="1:16" x14ac:dyDescent="0.3">
      <c r="A34">
        <v>1049</v>
      </c>
      <c r="B34" s="1">
        <v>45063</v>
      </c>
      <c r="C34" t="s">
        <v>39</v>
      </c>
      <c r="D34" t="s">
        <v>34</v>
      </c>
      <c r="E34">
        <v>1</v>
      </c>
      <c r="F34" t="s">
        <v>30</v>
      </c>
      <c r="G34" s="2">
        <v>3741.08</v>
      </c>
      <c r="H34" s="2">
        <v>3290.89</v>
      </c>
      <c r="I34" s="2">
        <v>3317.75</v>
      </c>
      <c r="J34" s="2">
        <v>26.86</v>
      </c>
      <c r="K34" s="2">
        <v>0.17</v>
      </c>
      <c r="L34" t="s">
        <v>26</v>
      </c>
      <c r="M34" t="s">
        <v>20</v>
      </c>
      <c r="N34" t="s">
        <v>31</v>
      </c>
      <c r="O34" t="s">
        <v>22</v>
      </c>
      <c r="P34" t="s">
        <v>43</v>
      </c>
    </row>
    <row r="35" spans="1:16" x14ac:dyDescent="0.3">
      <c r="A35">
        <v>1063</v>
      </c>
      <c r="B35" s="1">
        <v>45064</v>
      </c>
      <c r="C35" t="s">
        <v>33</v>
      </c>
      <c r="D35" t="s">
        <v>34</v>
      </c>
      <c r="E35">
        <v>39</v>
      </c>
      <c r="F35" t="s">
        <v>35</v>
      </c>
      <c r="G35" s="2">
        <v>3098.87</v>
      </c>
      <c r="H35" s="2">
        <v>3577.69</v>
      </c>
      <c r="I35" s="2">
        <v>3931.25</v>
      </c>
      <c r="J35" s="2">
        <v>13788.84</v>
      </c>
      <c r="K35" s="2">
        <v>0.21</v>
      </c>
      <c r="L35" t="s">
        <v>19</v>
      </c>
      <c r="M35" t="s">
        <v>20</v>
      </c>
      <c r="N35" t="s">
        <v>21</v>
      </c>
      <c r="O35" t="s">
        <v>36</v>
      </c>
      <c r="P35" t="s">
        <v>37</v>
      </c>
    </row>
    <row r="36" spans="1:16" x14ac:dyDescent="0.3">
      <c r="A36">
        <v>1050</v>
      </c>
      <c r="B36" s="1">
        <v>45065</v>
      </c>
      <c r="C36" t="s">
        <v>44</v>
      </c>
      <c r="D36" t="s">
        <v>24</v>
      </c>
      <c r="E36">
        <v>35</v>
      </c>
      <c r="F36" t="s">
        <v>18</v>
      </c>
      <c r="G36" s="2">
        <v>9744.52</v>
      </c>
      <c r="H36" s="2">
        <v>2158.69</v>
      </c>
      <c r="I36" s="2">
        <v>2384.38</v>
      </c>
      <c r="J36" s="2">
        <v>7899.15</v>
      </c>
      <c r="K36" s="2">
        <v>0.09</v>
      </c>
      <c r="L36" t="s">
        <v>19</v>
      </c>
      <c r="M36" t="s">
        <v>20</v>
      </c>
      <c r="N36" t="s">
        <v>31</v>
      </c>
      <c r="O36" t="s">
        <v>36</v>
      </c>
      <c r="P36" t="s">
        <v>52</v>
      </c>
    </row>
    <row r="37" spans="1:16" x14ac:dyDescent="0.3">
      <c r="A37">
        <v>1071</v>
      </c>
      <c r="B37" s="1">
        <v>45066</v>
      </c>
      <c r="C37" t="s">
        <v>16</v>
      </c>
      <c r="D37" t="s">
        <v>34</v>
      </c>
      <c r="E37">
        <v>6</v>
      </c>
      <c r="F37" t="s">
        <v>30</v>
      </c>
      <c r="G37" s="2">
        <v>3003.76</v>
      </c>
      <c r="H37" s="2">
        <v>2831.23</v>
      </c>
      <c r="I37" s="2">
        <v>3206.98</v>
      </c>
      <c r="J37" s="2">
        <v>2254.5</v>
      </c>
      <c r="K37" s="2">
        <v>0.06</v>
      </c>
      <c r="L37" t="s">
        <v>26</v>
      </c>
      <c r="M37" t="s">
        <v>20</v>
      </c>
      <c r="N37" t="s">
        <v>31</v>
      </c>
      <c r="O37" t="s">
        <v>36</v>
      </c>
      <c r="P37" t="s">
        <v>51</v>
      </c>
    </row>
    <row r="38" spans="1:16" x14ac:dyDescent="0.3">
      <c r="A38">
        <v>1035</v>
      </c>
      <c r="B38" s="1">
        <v>45068</v>
      </c>
      <c r="C38" t="s">
        <v>39</v>
      </c>
      <c r="D38" t="s">
        <v>29</v>
      </c>
      <c r="E38">
        <v>45</v>
      </c>
      <c r="F38" t="s">
        <v>35</v>
      </c>
      <c r="G38" s="2">
        <v>3780.22</v>
      </c>
      <c r="H38" s="2">
        <v>4132.79</v>
      </c>
      <c r="I38" s="2">
        <v>4624.1000000000004</v>
      </c>
      <c r="J38" s="2">
        <v>22108.95</v>
      </c>
      <c r="K38" s="2">
        <v>0.15</v>
      </c>
      <c r="L38" t="s">
        <v>19</v>
      </c>
      <c r="M38" t="s">
        <v>27</v>
      </c>
      <c r="N38" t="s">
        <v>42</v>
      </c>
      <c r="O38" t="s">
        <v>36</v>
      </c>
      <c r="P38" t="s">
        <v>54</v>
      </c>
    </row>
    <row r="39" spans="1:16" x14ac:dyDescent="0.3">
      <c r="A39">
        <v>1002</v>
      </c>
      <c r="B39" s="1">
        <v>45076</v>
      </c>
      <c r="C39" t="s">
        <v>46</v>
      </c>
      <c r="D39" t="s">
        <v>17</v>
      </c>
      <c r="E39">
        <v>17</v>
      </c>
      <c r="F39" t="s">
        <v>30</v>
      </c>
      <c r="G39" s="2">
        <v>6810.35</v>
      </c>
      <c r="H39" s="2">
        <v>4024.76</v>
      </c>
      <c r="I39" s="2">
        <v>4420.1499999999996</v>
      </c>
      <c r="J39" s="2">
        <v>6721.63</v>
      </c>
      <c r="K39" s="2">
        <v>0.04</v>
      </c>
      <c r="L39" t="s">
        <v>19</v>
      </c>
      <c r="M39" t="s">
        <v>20</v>
      </c>
      <c r="N39" t="s">
        <v>21</v>
      </c>
      <c r="O39" t="s">
        <v>22</v>
      </c>
      <c r="P39" t="s">
        <v>55</v>
      </c>
    </row>
    <row r="40" spans="1:16" x14ac:dyDescent="0.3">
      <c r="A40">
        <v>1086</v>
      </c>
      <c r="B40" s="1">
        <v>45079</v>
      </c>
      <c r="C40" t="s">
        <v>33</v>
      </c>
      <c r="D40" t="s">
        <v>24</v>
      </c>
      <c r="E40">
        <v>3</v>
      </c>
      <c r="F40" t="s">
        <v>25</v>
      </c>
      <c r="G40" s="2">
        <v>2495.5700000000002</v>
      </c>
      <c r="H40" s="2">
        <v>1595.35</v>
      </c>
      <c r="I40" s="2">
        <v>1625.71</v>
      </c>
      <c r="J40" s="2">
        <v>91.08</v>
      </c>
      <c r="K40" s="2">
        <v>0.27</v>
      </c>
      <c r="L40" t="s">
        <v>26</v>
      </c>
      <c r="M40" t="s">
        <v>27</v>
      </c>
      <c r="N40" t="s">
        <v>21</v>
      </c>
      <c r="O40" t="s">
        <v>22</v>
      </c>
      <c r="P40" t="s">
        <v>56</v>
      </c>
    </row>
    <row r="41" spans="1:16" x14ac:dyDescent="0.3">
      <c r="A41">
        <v>1069</v>
      </c>
      <c r="B41" s="1">
        <v>45080</v>
      </c>
      <c r="C41" t="s">
        <v>46</v>
      </c>
      <c r="D41" t="s">
        <v>34</v>
      </c>
      <c r="E41">
        <v>42</v>
      </c>
      <c r="F41" t="s">
        <v>18</v>
      </c>
      <c r="G41" s="2">
        <v>6581.04</v>
      </c>
      <c r="H41" s="2">
        <v>1434.2</v>
      </c>
      <c r="I41" s="2">
        <v>1482.88</v>
      </c>
      <c r="J41" s="2">
        <v>2044.56</v>
      </c>
      <c r="K41" s="2">
        <v>0.28000000000000003</v>
      </c>
      <c r="L41" t="s">
        <v>26</v>
      </c>
      <c r="M41" t="s">
        <v>27</v>
      </c>
      <c r="N41" t="s">
        <v>42</v>
      </c>
      <c r="O41" t="s">
        <v>36</v>
      </c>
      <c r="P41" t="s">
        <v>48</v>
      </c>
    </row>
    <row r="42" spans="1:16" x14ac:dyDescent="0.3">
      <c r="A42">
        <v>1079</v>
      </c>
      <c r="B42" s="1">
        <v>45083</v>
      </c>
      <c r="C42" t="s">
        <v>46</v>
      </c>
      <c r="D42" t="s">
        <v>29</v>
      </c>
      <c r="E42">
        <v>34</v>
      </c>
      <c r="F42" t="s">
        <v>30</v>
      </c>
      <c r="G42" s="2">
        <v>1982.07</v>
      </c>
      <c r="H42" s="2">
        <v>1967.96</v>
      </c>
      <c r="I42" s="2">
        <v>1993.4</v>
      </c>
      <c r="J42" s="2">
        <v>864.96</v>
      </c>
      <c r="K42" s="2">
        <v>0.15</v>
      </c>
      <c r="L42" t="s">
        <v>26</v>
      </c>
      <c r="M42" t="s">
        <v>20</v>
      </c>
      <c r="N42" t="s">
        <v>42</v>
      </c>
      <c r="O42" t="s">
        <v>22</v>
      </c>
      <c r="P42" t="s">
        <v>50</v>
      </c>
    </row>
    <row r="43" spans="1:16" x14ac:dyDescent="0.3">
      <c r="A43">
        <v>1032</v>
      </c>
      <c r="B43" s="1">
        <v>45085</v>
      </c>
      <c r="C43" t="s">
        <v>16</v>
      </c>
      <c r="D43" t="s">
        <v>34</v>
      </c>
      <c r="E43">
        <v>49</v>
      </c>
      <c r="F43" t="s">
        <v>25</v>
      </c>
      <c r="G43" s="2">
        <v>219.82</v>
      </c>
      <c r="H43" s="2">
        <v>4812.41</v>
      </c>
      <c r="I43" s="2">
        <v>5088</v>
      </c>
      <c r="J43" s="2">
        <v>13503.91</v>
      </c>
      <c r="K43" s="2">
        <v>0.09</v>
      </c>
      <c r="L43" t="s">
        <v>19</v>
      </c>
      <c r="M43" t="s">
        <v>20</v>
      </c>
      <c r="N43" t="s">
        <v>42</v>
      </c>
      <c r="O43" t="s">
        <v>22</v>
      </c>
      <c r="P43" t="s">
        <v>51</v>
      </c>
    </row>
    <row r="44" spans="1:16" x14ac:dyDescent="0.3">
      <c r="A44">
        <v>1054</v>
      </c>
      <c r="B44" s="1">
        <v>45087</v>
      </c>
      <c r="C44" t="s">
        <v>33</v>
      </c>
      <c r="D44" t="s">
        <v>29</v>
      </c>
      <c r="E44">
        <v>21</v>
      </c>
      <c r="F44" t="s">
        <v>30</v>
      </c>
      <c r="G44" s="2">
        <v>7853.66</v>
      </c>
      <c r="H44" s="2">
        <v>4668.1400000000003</v>
      </c>
      <c r="I44" s="2">
        <v>5040.22</v>
      </c>
      <c r="J44" s="2">
        <v>7813.68</v>
      </c>
      <c r="K44" s="2">
        <v>0.05</v>
      </c>
      <c r="L44" t="s">
        <v>19</v>
      </c>
      <c r="M44" t="s">
        <v>27</v>
      </c>
      <c r="N44" t="s">
        <v>31</v>
      </c>
      <c r="O44" t="s">
        <v>22</v>
      </c>
      <c r="P44" t="s">
        <v>53</v>
      </c>
    </row>
    <row r="45" spans="1:16" x14ac:dyDescent="0.3">
      <c r="A45">
        <v>1011</v>
      </c>
      <c r="B45" s="1">
        <v>45091</v>
      </c>
      <c r="C45" t="s">
        <v>39</v>
      </c>
      <c r="D45" t="s">
        <v>29</v>
      </c>
      <c r="E45">
        <v>38</v>
      </c>
      <c r="F45" t="s">
        <v>30</v>
      </c>
      <c r="G45" s="2">
        <v>4531.97</v>
      </c>
      <c r="H45" s="2">
        <v>4456.67</v>
      </c>
      <c r="I45" s="2">
        <v>4642.46</v>
      </c>
      <c r="J45" s="2">
        <v>7060.02</v>
      </c>
      <c r="K45" s="2">
        <v>0.06</v>
      </c>
      <c r="L45" t="s">
        <v>19</v>
      </c>
      <c r="M45" t="s">
        <v>27</v>
      </c>
      <c r="N45" t="s">
        <v>31</v>
      </c>
      <c r="O45" t="s">
        <v>22</v>
      </c>
      <c r="P45" t="s">
        <v>54</v>
      </c>
    </row>
    <row r="46" spans="1:16" x14ac:dyDescent="0.3">
      <c r="A46">
        <v>1004</v>
      </c>
      <c r="B46" s="1">
        <v>45099</v>
      </c>
      <c r="C46" t="s">
        <v>16</v>
      </c>
      <c r="D46" t="s">
        <v>29</v>
      </c>
      <c r="E46">
        <v>39</v>
      </c>
      <c r="F46" t="s">
        <v>25</v>
      </c>
      <c r="G46" s="2">
        <v>7762.51</v>
      </c>
      <c r="H46" s="2">
        <v>2416.89</v>
      </c>
      <c r="I46" s="2">
        <v>2778.4</v>
      </c>
      <c r="J46" s="2">
        <v>14098.89</v>
      </c>
      <c r="K46" s="2">
        <v>0.05</v>
      </c>
      <c r="L46" t="s">
        <v>19</v>
      </c>
      <c r="M46" t="s">
        <v>20</v>
      </c>
      <c r="N46" t="s">
        <v>21</v>
      </c>
      <c r="O46" t="s">
        <v>22</v>
      </c>
      <c r="P46" t="s">
        <v>32</v>
      </c>
    </row>
    <row r="47" spans="1:16" x14ac:dyDescent="0.3">
      <c r="A47">
        <v>1023</v>
      </c>
      <c r="B47" s="1">
        <v>45105</v>
      </c>
      <c r="C47" t="s">
        <v>16</v>
      </c>
      <c r="D47" t="s">
        <v>24</v>
      </c>
      <c r="E47">
        <v>9</v>
      </c>
      <c r="F47" t="s">
        <v>18</v>
      </c>
      <c r="G47" s="2">
        <v>2170.94</v>
      </c>
      <c r="H47" s="2">
        <v>4155.46</v>
      </c>
      <c r="I47" s="2">
        <v>4273.6000000000004</v>
      </c>
      <c r="J47" s="2">
        <v>1063.26</v>
      </c>
      <c r="K47" s="2">
        <v>0.25</v>
      </c>
      <c r="L47" t="s">
        <v>26</v>
      </c>
      <c r="M47" t="s">
        <v>20</v>
      </c>
      <c r="N47" t="s">
        <v>21</v>
      </c>
      <c r="O47" t="s">
        <v>36</v>
      </c>
      <c r="P47" t="s">
        <v>28</v>
      </c>
    </row>
    <row r="48" spans="1:16" x14ac:dyDescent="0.3">
      <c r="A48">
        <v>1075</v>
      </c>
      <c r="B48" s="1">
        <v>45106</v>
      </c>
      <c r="C48" t="s">
        <v>46</v>
      </c>
      <c r="D48" t="s">
        <v>29</v>
      </c>
      <c r="E48">
        <v>30</v>
      </c>
      <c r="F48" t="s">
        <v>30</v>
      </c>
      <c r="G48" s="2">
        <v>4223.3900000000003</v>
      </c>
      <c r="H48" s="2">
        <v>738.06</v>
      </c>
      <c r="I48" s="2">
        <v>1095.45</v>
      </c>
      <c r="J48" s="2">
        <v>10721.7</v>
      </c>
      <c r="K48" s="2">
        <v>0.05</v>
      </c>
      <c r="L48" t="s">
        <v>19</v>
      </c>
      <c r="M48" t="s">
        <v>27</v>
      </c>
      <c r="N48" t="s">
        <v>31</v>
      </c>
      <c r="O48" t="s">
        <v>22</v>
      </c>
      <c r="P48" t="s">
        <v>50</v>
      </c>
    </row>
    <row r="49" spans="1:16" x14ac:dyDescent="0.3">
      <c r="A49">
        <v>1066</v>
      </c>
      <c r="B49" s="1">
        <v>45110</v>
      </c>
      <c r="C49" t="s">
        <v>44</v>
      </c>
      <c r="D49" t="s">
        <v>17</v>
      </c>
      <c r="E49">
        <v>15</v>
      </c>
      <c r="F49" t="s">
        <v>30</v>
      </c>
      <c r="G49" s="2">
        <v>6380.2</v>
      </c>
      <c r="H49" s="2">
        <v>2579.31</v>
      </c>
      <c r="I49" s="2">
        <v>2867.36</v>
      </c>
      <c r="J49" s="2">
        <v>4320.75</v>
      </c>
      <c r="K49" s="2">
        <v>0.04</v>
      </c>
      <c r="L49" t="s">
        <v>26</v>
      </c>
      <c r="M49" t="s">
        <v>20</v>
      </c>
      <c r="N49" t="s">
        <v>31</v>
      </c>
      <c r="O49" t="s">
        <v>36</v>
      </c>
      <c r="P49" t="s">
        <v>57</v>
      </c>
    </row>
    <row r="50" spans="1:16" x14ac:dyDescent="0.3">
      <c r="A50">
        <v>1030</v>
      </c>
      <c r="B50" s="1">
        <v>45124</v>
      </c>
      <c r="C50" t="s">
        <v>46</v>
      </c>
      <c r="D50" t="s">
        <v>34</v>
      </c>
      <c r="E50">
        <v>19</v>
      </c>
      <c r="F50" t="s">
        <v>18</v>
      </c>
      <c r="G50" s="2">
        <v>3023.48</v>
      </c>
      <c r="H50" s="2">
        <v>3049.33</v>
      </c>
      <c r="I50" s="2">
        <v>3209.22</v>
      </c>
      <c r="J50" s="2">
        <v>3037.91</v>
      </c>
      <c r="K50" s="2">
        <v>0.26</v>
      </c>
      <c r="L50" t="s">
        <v>26</v>
      </c>
      <c r="M50" t="s">
        <v>20</v>
      </c>
      <c r="N50" t="s">
        <v>21</v>
      </c>
      <c r="O50" t="s">
        <v>22</v>
      </c>
      <c r="P50" t="s">
        <v>48</v>
      </c>
    </row>
    <row r="51" spans="1:16" x14ac:dyDescent="0.3">
      <c r="A51">
        <v>1017</v>
      </c>
      <c r="B51" s="1">
        <v>45128</v>
      </c>
      <c r="C51" t="s">
        <v>46</v>
      </c>
      <c r="D51" t="s">
        <v>24</v>
      </c>
      <c r="E51">
        <v>1</v>
      </c>
      <c r="F51" t="s">
        <v>35</v>
      </c>
      <c r="G51" s="2">
        <v>3388.69</v>
      </c>
      <c r="H51" s="2">
        <v>172.59</v>
      </c>
      <c r="I51" s="2">
        <v>404.69</v>
      </c>
      <c r="J51" s="2">
        <v>232.1</v>
      </c>
      <c r="K51" s="2">
        <v>0.28999999999999998</v>
      </c>
      <c r="L51" t="s">
        <v>26</v>
      </c>
      <c r="M51" t="s">
        <v>20</v>
      </c>
      <c r="N51" t="s">
        <v>31</v>
      </c>
      <c r="O51" t="s">
        <v>22</v>
      </c>
      <c r="P51" t="s">
        <v>47</v>
      </c>
    </row>
    <row r="52" spans="1:16" x14ac:dyDescent="0.3">
      <c r="A52">
        <v>1039</v>
      </c>
      <c r="B52" s="1">
        <v>45129</v>
      </c>
      <c r="C52" t="s">
        <v>39</v>
      </c>
      <c r="D52" t="s">
        <v>24</v>
      </c>
      <c r="E52">
        <v>42</v>
      </c>
      <c r="F52" t="s">
        <v>18</v>
      </c>
      <c r="G52" s="2">
        <v>6807.67</v>
      </c>
      <c r="H52" s="2">
        <v>3120.19</v>
      </c>
      <c r="I52" s="2">
        <v>3600.14</v>
      </c>
      <c r="J52" s="2">
        <v>20157.900000000001</v>
      </c>
      <c r="K52" s="2">
        <v>0.19</v>
      </c>
      <c r="L52" t="s">
        <v>19</v>
      </c>
      <c r="M52" t="s">
        <v>20</v>
      </c>
      <c r="N52" t="s">
        <v>42</v>
      </c>
      <c r="O52" t="s">
        <v>36</v>
      </c>
      <c r="P52" t="s">
        <v>40</v>
      </c>
    </row>
    <row r="53" spans="1:16" x14ac:dyDescent="0.3">
      <c r="A53">
        <v>1047</v>
      </c>
      <c r="B53" s="1">
        <v>45146</v>
      </c>
      <c r="C53" t="s">
        <v>46</v>
      </c>
      <c r="D53" t="s">
        <v>17</v>
      </c>
      <c r="E53">
        <v>33</v>
      </c>
      <c r="F53" t="s">
        <v>25</v>
      </c>
      <c r="G53" s="2">
        <v>1331.25</v>
      </c>
      <c r="H53" s="2">
        <v>1341.55</v>
      </c>
      <c r="I53" s="2">
        <v>1427.21</v>
      </c>
      <c r="J53" s="2">
        <v>2826.78</v>
      </c>
      <c r="K53" s="2">
        <v>0.15</v>
      </c>
      <c r="L53" t="s">
        <v>26</v>
      </c>
      <c r="M53" t="s">
        <v>20</v>
      </c>
      <c r="N53" t="s">
        <v>42</v>
      </c>
      <c r="O53" t="s">
        <v>22</v>
      </c>
      <c r="P53" t="s">
        <v>55</v>
      </c>
    </row>
    <row r="54" spans="1:16" x14ac:dyDescent="0.3">
      <c r="A54">
        <v>1084</v>
      </c>
      <c r="B54" s="1">
        <v>45151</v>
      </c>
      <c r="C54" t="s">
        <v>39</v>
      </c>
      <c r="D54" t="s">
        <v>34</v>
      </c>
      <c r="E54">
        <v>21</v>
      </c>
      <c r="F54" t="s">
        <v>30</v>
      </c>
      <c r="G54" s="2">
        <v>1290.05</v>
      </c>
      <c r="H54" s="2">
        <v>3497.98</v>
      </c>
      <c r="I54" s="2">
        <v>3765.31</v>
      </c>
      <c r="J54" s="2">
        <v>5613.93</v>
      </c>
      <c r="K54" s="2">
        <v>0.08</v>
      </c>
      <c r="L54" t="s">
        <v>19</v>
      </c>
      <c r="M54" t="s">
        <v>27</v>
      </c>
      <c r="N54" t="s">
        <v>21</v>
      </c>
      <c r="O54" t="s">
        <v>22</v>
      </c>
      <c r="P54" t="s">
        <v>43</v>
      </c>
    </row>
    <row r="55" spans="1:16" x14ac:dyDescent="0.3">
      <c r="A55">
        <v>1100</v>
      </c>
      <c r="B55" s="1">
        <v>45152</v>
      </c>
      <c r="C55" t="s">
        <v>33</v>
      </c>
      <c r="D55" t="s">
        <v>34</v>
      </c>
      <c r="E55">
        <v>43</v>
      </c>
      <c r="F55" t="s">
        <v>35</v>
      </c>
      <c r="G55" s="2">
        <v>2198.7399999999998</v>
      </c>
      <c r="H55" s="2">
        <v>1100.81</v>
      </c>
      <c r="I55" s="2">
        <v>1137.44</v>
      </c>
      <c r="J55" s="2">
        <v>1575.09</v>
      </c>
      <c r="K55" s="2">
        <v>0.08</v>
      </c>
      <c r="L55" t="s">
        <v>26</v>
      </c>
      <c r="M55" t="s">
        <v>20</v>
      </c>
      <c r="N55" t="s">
        <v>31</v>
      </c>
      <c r="O55" t="s">
        <v>22</v>
      </c>
      <c r="P55" t="s">
        <v>37</v>
      </c>
    </row>
    <row r="56" spans="1:16" x14ac:dyDescent="0.3">
      <c r="A56">
        <v>1022</v>
      </c>
      <c r="B56" s="1">
        <v>45155</v>
      </c>
      <c r="C56" t="s">
        <v>44</v>
      </c>
      <c r="D56" t="s">
        <v>29</v>
      </c>
      <c r="E56">
        <v>21</v>
      </c>
      <c r="F56" t="s">
        <v>35</v>
      </c>
      <c r="G56" s="2">
        <v>8813.5499999999993</v>
      </c>
      <c r="H56" s="2">
        <v>2537.1999999999998</v>
      </c>
      <c r="I56" s="2">
        <v>2869.6</v>
      </c>
      <c r="J56" s="2">
        <v>6980.4</v>
      </c>
      <c r="K56" s="2">
        <v>0.28999999999999998</v>
      </c>
      <c r="L56" t="s">
        <v>19</v>
      </c>
      <c r="M56" t="s">
        <v>27</v>
      </c>
      <c r="N56" t="s">
        <v>31</v>
      </c>
      <c r="O56" t="s">
        <v>36</v>
      </c>
      <c r="P56" t="s">
        <v>45</v>
      </c>
    </row>
    <row r="57" spans="1:16" x14ac:dyDescent="0.3">
      <c r="A57">
        <v>1072</v>
      </c>
      <c r="B57" s="1">
        <v>45162</v>
      </c>
      <c r="C57" t="s">
        <v>33</v>
      </c>
      <c r="D57" t="s">
        <v>29</v>
      </c>
      <c r="E57">
        <v>39</v>
      </c>
      <c r="F57" t="s">
        <v>18</v>
      </c>
      <c r="G57" s="2">
        <v>2167.94</v>
      </c>
      <c r="H57" s="2">
        <v>4330.03</v>
      </c>
      <c r="I57" s="2">
        <v>4467.75</v>
      </c>
      <c r="J57" s="2">
        <v>5371.08</v>
      </c>
      <c r="K57" s="2">
        <v>0.02</v>
      </c>
      <c r="L57" t="s">
        <v>19</v>
      </c>
      <c r="M57" t="s">
        <v>27</v>
      </c>
      <c r="N57" t="s">
        <v>42</v>
      </c>
      <c r="O57" t="s">
        <v>36</v>
      </c>
      <c r="P57" t="s">
        <v>53</v>
      </c>
    </row>
    <row r="58" spans="1:16" x14ac:dyDescent="0.3">
      <c r="A58">
        <v>1059</v>
      </c>
      <c r="B58" s="1">
        <v>45169</v>
      </c>
      <c r="C58" t="s">
        <v>39</v>
      </c>
      <c r="D58" t="s">
        <v>17</v>
      </c>
      <c r="E58">
        <v>35</v>
      </c>
      <c r="F58" t="s">
        <v>35</v>
      </c>
      <c r="G58" s="2">
        <v>1203.97</v>
      </c>
      <c r="H58" s="2">
        <v>3333.64</v>
      </c>
      <c r="I58" s="2">
        <v>3764.52</v>
      </c>
      <c r="J58" s="2">
        <v>15080.8</v>
      </c>
      <c r="K58" s="2">
        <v>0.02</v>
      </c>
      <c r="L58" t="s">
        <v>19</v>
      </c>
      <c r="M58" t="s">
        <v>20</v>
      </c>
      <c r="N58" t="s">
        <v>42</v>
      </c>
      <c r="O58" t="s">
        <v>22</v>
      </c>
      <c r="P58" t="s">
        <v>41</v>
      </c>
    </row>
    <row r="59" spans="1:16" x14ac:dyDescent="0.3">
      <c r="A59">
        <v>1091</v>
      </c>
      <c r="B59" s="1">
        <v>45173</v>
      </c>
      <c r="C59" t="s">
        <v>44</v>
      </c>
      <c r="D59" t="s">
        <v>29</v>
      </c>
      <c r="E59">
        <v>44</v>
      </c>
      <c r="F59" t="s">
        <v>35</v>
      </c>
      <c r="G59" s="2">
        <v>675.11</v>
      </c>
      <c r="H59" s="2">
        <v>2085.46</v>
      </c>
      <c r="I59" s="2">
        <v>2406.58</v>
      </c>
      <c r="J59" s="2">
        <v>14129.28</v>
      </c>
      <c r="K59" s="2">
        <v>0.06</v>
      </c>
      <c r="L59" t="s">
        <v>19</v>
      </c>
      <c r="M59" t="s">
        <v>20</v>
      </c>
      <c r="N59" t="s">
        <v>31</v>
      </c>
      <c r="O59" t="s">
        <v>36</v>
      </c>
      <c r="P59" t="s">
        <v>45</v>
      </c>
    </row>
    <row r="60" spans="1:16" x14ac:dyDescent="0.3">
      <c r="A60">
        <v>1020</v>
      </c>
      <c r="B60" s="1">
        <v>45177</v>
      </c>
      <c r="C60" t="s">
        <v>16</v>
      </c>
      <c r="D60" t="s">
        <v>17</v>
      </c>
      <c r="E60">
        <v>26</v>
      </c>
      <c r="F60" t="s">
        <v>18</v>
      </c>
      <c r="G60" s="2">
        <v>9733.4699999999993</v>
      </c>
      <c r="H60" s="2">
        <v>4472.3500000000004</v>
      </c>
      <c r="I60" s="2">
        <v>4770.42</v>
      </c>
      <c r="J60" s="2">
        <v>7749.82</v>
      </c>
      <c r="K60" s="2">
        <v>0.01</v>
      </c>
      <c r="L60" t="s">
        <v>19</v>
      </c>
      <c r="M60" t="s">
        <v>27</v>
      </c>
      <c r="N60" t="s">
        <v>42</v>
      </c>
      <c r="O60" t="s">
        <v>36</v>
      </c>
      <c r="P60" t="s">
        <v>23</v>
      </c>
    </row>
    <row r="61" spans="1:16" x14ac:dyDescent="0.3">
      <c r="A61">
        <v>1096</v>
      </c>
      <c r="B61" s="1">
        <v>45180</v>
      </c>
      <c r="C61" t="s">
        <v>16</v>
      </c>
      <c r="D61" t="s">
        <v>29</v>
      </c>
      <c r="E61">
        <v>23</v>
      </c>
      <c r="F61" t="s">
        <v>25</v>
      </c>
      <c r="G61" s="2">
        <v>7597.37</v>
      </c>
      <c r="H61" s="2">
        <v>608.57000000000005</v>
      </c>
      <c r="I61" s="2">
        <v>1032.22</v>
      </c>
      <c r="J61" s="2">
        <v>9743.9500000000007</v>
      </c>
      <c r="K61" s="2">
        <v>0.25</v>
      </c>
      <c r="L61" t="s">
        <v>19</v>
      </c>
      <c r="M61" t="s">
        <v>27</v>
      </c>
      <c r="N61" t="s">
        <v>21</v>
      </c>
      <c r="O61" t="s">
        <v>36</v>
      </c>
      <c r="P61" t="s">
        <v>32</v>
      </c>
    </row>
    <row r="62" spans="1:16" x14ac:dyDescent="0.3">
      <c r="A62">
        <v>1006</v>
      </c>
      <c r="B62" s="1">
        <v>45185</v>
      </c>
      <c r="C62" t="s">
        <v>33</v>
      </c>
      <c r="D62" t="s">
        <v>17</v>
      </c>
      <c r="E62">
        <v>49</v>
      </c>
      <c r="F62" t="s">
        <v>35</v>
      </c>
      <c r="G62" s="2">
        <v>8995.75</v>
      </c>
      <c r="H62" s="2">
        <v>2843.76</v>
      </c>
      <c r="I62" s="2">
        <v>3146.6</v>
      </c>
      <c r="J62" s="2">
        <v>14839.16</v>
      </c>
      <c r="K62" s="2">
        <v>0.08</v>
      </c>
      <c r="L62" t="s">
        <v>19</v>
      </c>
      <c r="M62" t="s">
        <v>27</v>
      </c>
      <c r="N62" t="s">
        <v>21</v>
      </c>
      <c r="O62" t="s">
        <v>36</v>
      </c>
      <c r="P62" t="s">
        <v>38</v>
      </c>
    </row>
    <row r="63" spans="1:16" x14ac:dyDescent="0.3">
      <c r="A63">
        <v>1057</v>
      </c>
      <c r="B63" s="1">
        <v>45187</v>
      </c>
      <c r="C63" t="s">
        <v>44</v>
      </c>
      <c r="D63" t="s">
        <v>34</v>
      </c>
      <c r="E63">
        <v>25</v>
      </c>
      <c r="F63" t="s">
        <v>35</v>
      </c>
      <c r="G63" s="2">
        <v>7315.73</v>
      </c>
      <c r="H63" s="2">
        <v>1821.91</v>
      </c>
      <c r="I63" s="2">
        <v>2027.74</v>
      </c>
      <c r="J63" s="2">
        <v>5145.75</v>
      </c>
      <c r="K63" s="2">
        <v>0.02</v>
      </c>
      <c r="L63" t="s">
        <v>19</v>
      </c>
      <c r="M63" t="s">
        <v>27</v>
      </c>
      <c r="N63" t="s">
        <v>31</v>
      </c>
      <c r="O63" t="s">
        <v>36</v>
      </c>
      <c r="P63" t="s">
        <v>49</v>
      </c>
    </row>
    <row r="64" spans="1:16" x14ac:dyDescent="0.3">
      <c r="A64">
        <v>1015</v>
      </c>
      <c r="B64" s="1">
        <v>45190</v>
      </c>
      <c r="C64" t="s">
        <v>46</v>
      </c>
      <c r="D64" t="s">
        <v>29</v>
      </c>
      <c r="E64">
        <v>30</v>
      </c>
      <c r="F64" t="s">
        <v>35</v>
      </c>
      <c r="G64" s="2">
        <v>4631.2299999999996</v>
      </c>
      <c r="H64" s="2">
        <v>261.56</v>
      </c>
      <c r="I64" s="2">
        <v>371.4</v>
      </c>
      <c r="J64" s="2">
        <v>3295.2</v>
      </c>
      <c r="K64" s="2">
        <v>0.2</v>
      </c>
      <c r="L64" t="s">
        <v>26</v>
      </c>
      <c r="M64" t="s">
        <v>20</v>
      </c>
      <c r="N64" t="s">
        <v>31</v>
      </c>
      <c r="O64" t="s">
        <v>36</v>
      </c>
      <c r="P64" t="s">
        <v>50</v>
      </c>
    </row>
    <row r="65" spans="1:16" x14ac:dyDescent="0.3">
      <c r="A65">
        <v>1048</v>
      </c>
      <c r="B65" s="1">
        <v>45199</v>
      </c>
      <c r="C65" t="s">
        <v>44</v>
      </c>
      <c r="D65" t="s">
        <v>17</v>
      </c>
      <c r="E65">
        <v>4</v>
      </c>
      <c r="F65" t="s">
        <v>30</v>
      </c>
      <c r="G65" s="2">
        <v>7873.38</v>
      </c>
      <c r="H65" s="2">
        <v>2900.14</v>
      </c>
      <c r="I65" s="2">
        <v>2910.51</v>
      </c>
      <c r="J65" s="2">
        <v>41.48</v>
      </c>
      <c r="K65" s="2">
        <v>0.22</v>
      </c>
      <c r="L65" t="s">
        <v>26</v>
      </c>
      <c r="M65" t="s">
        <v>27</v>
      </c>
      <c r="N65" t="s">
        <v>42</v>
      </c>
      <c r="O65" t="s">
        <v>36</v>
      </c>
      <c r="P65" t="s">
        <v>57</v>
      </c>
    </row>
    <row r="66" spans="1:16" x14ac:dyDescent="0.3">
      <c r="A66">
        <v>1025</v>
      </c>
      <c r="B66" s="1">
        <v>45214</v>
      </c>
      <c r="C66" t="s">
        <v>46</v>
      </c>
      <c r="D66" t="s">
        <v>17</v>
      </c>
      <c r="E66">
        <v>44</v>
      </c>
      <c r="F66" t="s">
        <v>35</v>
      </c>
      <c r="G66" s="2">
        <v>3422.54</v>
      </c>
      <c r="H66" s="2">
        <v>1485.72</v>
      </c>
      <c r="I66" s="2">
        <v>1717.97</v>
      </c>
      <c r="J66" s="2">
        <v>10219</v>
      </c>
      <c r="K66" s="2">
        <v>0.02</v>
      </c>
      <c r="L66" t="s">
        <v>19</v>
      </c>
      <c r="M66" t="s">
        <v>27</v>
      </c>
      <c r="N66" t="s">
        <v>42</v>
      </c>
      <c r="O66" t="s">
        <v>36</v>
      </c>
      <c r="P66" t="s">
        <v>55</v>
      </c>
    </row>
    <row r="67" spans="1:16" x14ac:dyDescent="0.3">
      <c r="A67">
        <v>1053</v>
      </c>
      <c r="B67" s="1">
        <v>45215</v>
      </c>
      <c r="C67" t="s">
        <v>33</v>
      </c>
      <c r="D67" t="s">
        <v>17</v>
      </c>
      <c r="E67">
        <v>48</v>
      </c>
      <c r="F67" t="s">
        <v>30</v>
      </c>
      <c r="G67" s="2">
        <v>2235.83</v>
      </c>
      <c r="H67" s="2">
        <v>121.19</v>
      </c>
      <c r="I67" s="2">
        <v>487.65</v>
      </c>
      <c r="J67" s="2">
        <v>17590.080000000002</v>
      </c>
      <c r="K67" s="2">
        <v>0.18</v>
      </c>
      <c r="L67" t="s">
        <v>19</v>
      </c>
      <c r="M67" t="s">
        <v>27</v>
      </c>
      <c r="N67" t="s">
        <v>21</v>
      </c>
      <c r="O67" t="s">
        <v>36</v>
      </c>
      <c r="P67" t="s">
        <v>38</v>
      </c>
    </row>
    <row r="68" spans="1:16" x14ac:dyDescent="0.3">
      <c r="A68">
        <v>1098</v>
      </c>
      <c r="B68" s="1">
        <v>45217</v>
      </c>
      <c r="C68" t="s">
        <v>16</v>
      </c>
      <c r="D68" t="s">
        <v>34</v>
      </c>
      <c r="E68">
        <v>21</v>
      </c>
      <c r="F68" t="s">
        <v>30</v>
      </c>
      <c r="G68" s="2">
        <v>1600.79</v>
      </c>
      <c r="H68" s="2">
        <v>725.03</v>
      </c>
      <c r="I68" s="2">
        <v>828.95</v>
      </c>
      <c r="J68" s="2">
        <v>2182.3200000000002</v>
      </c>
      <c r="K68" s="2">
        <v>0.18</v>
      </c>
      <c r="L68" t="s">
        <v>26</v>
      </c>
      <c r="M68" t="s">
        <v>27</v>
      </c>
      <c r="N68" t="s">
        <v>31</v>
      </c>
      <c r="O68" t="s">
        <v>22</v>
      </c>
      <c r="P68" t="s">
        <v>51</v>
      </c>
    </row>
    <row r="69" spans="1:16" x14ac:dyDescent="0.3">
      <c r="A69">
        <v>1036</v>
      </c>
      <c r="B69" s="1">
        <v>45219</v>
      </c>
      <c r="C69" t="s">
        <v>46</v>
      </c>
      <c r="D69" t="s">
        <v>17</v>
      </c>
      <c r="E69">
        <v>49</v>
      </c>
      <c r="F69" t="s">
        <v>18</v>
      </c>
      <c r="G69" s="2">
        <v>6499.94</v>
      </c>
      <c r="H69" s="2">
        <v>1247.0999999999999</v>
      </c>
      <c r="I69" s="2">
        <v>1429.44</v>
      </c>
      <c r="J69" s="2">
        <v>8934.66</v>
      </c>
      <c r="K69" s="2">
        <v>0.16</v>
      </c>
      <c r="L69" t="s">
        <v>19</v>
      </c>
      <c r="M69" t="s">
        <v>27</v>
      </c>
      <c r="N69" t="s">
        <v>21</v>
      </c>
      <c r="O69" t="s">
        <v>22</v>
      </c>
      <c r="P69" t="s">
        <v>55</v>
      </c>
    </row>
    <row r="70" spans="1:16" x14ac:dyDescent="0.3">
      <c r="A70">
        <v>1013</v>
      </c>
      <c r="B70" s="1">
        <v>45220</v>
      </c>
      <c r="C70" t="s">
        <v>46</v>
      </c>
      <c r="D70" t="s">
        <v>24</v>
      </c>
      <c r="E70">
        <v>20</v>
      </c>
      <c r="F70" t="s">
        <v>25</v>
      </c>
      <c r="G70" s="2">
        <v>5039.07</v>
      </c>
      <c r="H70" s="2">
        <v>1533.36</v>
      </c>
      <c r="I70" s="2">
        <v>1649.74</v>
      </c>
      <c r="J70" s="2">
        <v>2327.6</v>
      </c>
      <c r="K70" s="2">
        <v>0.1</v>
      </c>
      <c r="L70" t="s">
        <v>26</v>
      </c>
      <c r="M70" t="s">
        <v>20</v>
      </c>
      <c r="N70" t="s">
        <v>31</v>
      </c>
      <c r="O70" t="s">
        <v>22</v>
      </c>
      <c r="P70" t="s">
        <v>47</v>
      </c>
    </row>
    <row r="71" spans="1:16" x14ac:dyDescent="0.3">
      <c r="A71">
        <v>1012</v>
      </c>
      <c r="B71" s="1">
        <v>45221</v>
      </c>
      <c r="C71" t="s">
        <v>46</v>
      </c>
      <c r="D71" t="s">
        <v>17</v>
      </c>
      <c r="E71">
        <v>34</v>
      </c>
      <c r="F71" t="s">
        <v>30</v>
      </c>
      <c r="G71" s="2">
        <v>4384.88</v>
      </c>
      <c r="H71" s="2">
        <v>2462.5500000000002</v>
      </c>
      <c r="I71" s="2">
        <v>2521.77</v>
      </c>
      <c r="J71" s="2">
        <v>2013.48</v>
      </c>
      <c r="K71" s="2">
        <v>0.21</v>
      </c>
      <c r="L71" t="s">
        <v>26</v>
      </c>
      <c r="M71" t="s">
        <v>27</v>
      </c>
      <c r="N71" t="s">
        <v>31</v>
      </c>
      <c r="O71" t="s">
        <v>36</v>
      </c>
      <c r="P71" t="s">
        <v>55</v>
      </c>
    </row>
    <row r="72" spans="1:16" x14ac:dyDescent="0.3">
      <c r="A72">
        <v>1097</v>
      </c>
      <c r="B72" s="1">
        <v>45225</v>
      </c>
      <c r="C72" t="s">
        <v>39</v>
      </c>
      <c r="D72" t="s">
        <v>24</v>
      </c>
      <c r="E72">
        <v>27</v>
      </c>
      <c r="F72" t="s">
        <v>25</v>
      </c>
      <c r="G72" s="2">
        <v>7633.98</v>
      </c>
      <c r="H72" s="2">
        <v>4686.79</v>
      </c>
      <c r="I72" s="2">
        <v>5046.51</v>
      </c>
      <c r="J72" s="2">
        <v>9712.44</v>
      </c>
      <c r="K72" s="2">
        <v>0.05</v>
      </c>
      <c r="L72" t="s">
        <v>19</v>
      </c>
      <c r="M72" t="s">
        <v>20</v>
      </c>
      <c r="N72" t="s">
        <v>42</v>
      </c>
      <c r="O72" t="s">
        <v>36</v>
      </c>
      <c r="P72" t="s">
        <v>40</v>
      </c>
    </row>
    <row r="73" spans="1:16" x14ac:dyDescent="0.3">
      <c r="A73">
        <v>1019</v>
      </c>
      <c r="B73" s="1">
        <v>45228</v>
      </c>
      <c r="C73" t="s">
        <v>46</v>
      </c>
      <c r="D73" t="s">
        <v>34</v>
      </c>
      <c r="E73">
        <v>31</v>
      </c>
      <c r="F73" t="s">
        <v>35</v>
      </c>
      <c r="G73" s="2">
        <v>5952.19</v>
      </c>
      <c r="H73" s="2">
        <v>333.69</v>
      </c>
      <c r="I73" s="2">
        <v>685.1</v>
      </c>
      <c r="J73" s="2">
        <v>10893.71</v>
      </c>
      <c r="K73" s="2">
        <v>0.04</v>
      </c>
      <c r="L73" t="s">
        <v>19</v>
      </c>
      <c r="M73" t="s">
        <v>27</v>
      </c>
      <c r="N73" t="s">
        <v>31</v>
      </c>
      <c r="O73" t="s">
        <v>22</v>
      </c>
      <c r="P73" t="s">
        <v>48</v>
      </c>
    </row>
    <row r="74" spans="1:16" x14ac:dyDescent="0.3">
      <c r="A74">
        <v>1089</v>
      </c>
      <c r="B74" s="1">
        <v>45237</v>
      </c>
      <c r="C74" t="s">
        <v>33</v>
      </c>
      <c r="D74" t="s">
        <v>34</v>
      </c>
      <c r="E74">
        <v>47</v>
      </c>
      <c r="F74" t="s">
        <v>30</v>
      </c>
      <c r="G74" s="2">
        <v>2945.36</v>
      </c>
      <c r="H74" s="2">
        <v>4157.62</v>
      </c>
      <c r="I74" s="2">
        <v>4314.5600000000004</v>
      </c>
      <c r="J74" s="2">
        <v>7376.18</v>
      </c>
      <c r="K74" s="2">
        <v>0.17</v>
      </c>
      <c r="L74" t="s">
        <v>19</v>
      </c>
      <c r="M74" t="s">
        <v>27</v>
      </c>
      <c r="N74" t="s">
        <v>31</v>
      </c>
      <c r="O74" t="s">
        <v>36</v>
      </c>
      <c r="P74" t="s">
        <v>37</v>
      </c>
    </row>
    <row r="75" spans="1:16" x14ac:dyDescent="0.3">
      <c r="A75">
        <v>1024</v>
      </c>
      <c r="B75" s="1">
        <v>45241</v>
      </c>
      <c r="C75" t="s">
        <v>16</v>
      </c>
      <c r="D75" t="s">
        <v>34</v>
      </c>
      <c r="E75">
        <v>21</v>
      </c>
      <c r="F75" t="s">
        <v>35</v>
      </c>
      <c r="G75" s="2">
        <v>6607.8</v>
      </c>
      <c r="H75" s="2">
        <v>622.01</v>
      </c>
      <c r="I75" s="2">
        <v>641.09</v>
      </c>
      <c r="J75" s="2">
        <v>400.68</v>
      </c>
      <c r="K75" s="2">
        <v>0</v>
      </c>
      <c r="L75" t="s">
        <v>26</v>
      </c>
      <c r="M75" t="s">
        <v>20</v>
      </c>
      <c r="N75" t="s">
        <v>31</v>
      </c>
      <c r="O75" t="s">
        <v>36</v>
      </c>
      <c r="P75" t="s">
        <v>51</v>
      </c>
    </row>
    <row r="76" spans="1:16" x14ac:dyDescent="0.3">
      <c r="A76">
        <v>1001</v>
      </c>
      <c r="B76" s="1">
        <v>45242</v>
      </c>
      <c r="C76" t="s">
        <v>39</v>
      </c>
      <c r="D76" t="s">
        <v>17</v>
      </c>
      <c r="E76">
        <v>8</v>
      </c>
      <c r="F76" t="s">
        <v>25</v>
      </c>
      <c r="G76" s="2">
        <v>715.81</v>
      </c>
      <c r="H76" s="2">
        <v>3657.91</v>
      </c>
      <c r="I76" s="2">
        <v>3729.27</v>
      </c>
      <c r="J76" s="2">
        <v>570.88</v>
      </c>
      <c r="K76" s="2">
        <v>0.09</v>
      </c>
      <c r="L76" t="s">
        <v>26</v>
      </c>
      <c r="M76" t="s">
        <v>27</v>
      </c>
      <c r="N76" t="s">
        <v>31</v>
      </c>
      <c r="O76" t="s">
        <v>36</v>
      </c>
      <c r="P76" t="s">
        <v>41</v>
      </c>
    </row>
    <row r="77" spans="1:16" x14ac:dyDescent="0.3">
      <c r="A77">
        <v>1033</v>
      </c>
      <c r="B77" s="1">
        <v>45244</v>
      </c>
      <c r="C77" t="s">
        <v>46</v>
      </c>
      <c r="D77" t="s">
        <v>29</v>
      </c>
      <c r="E77">
        <v>23</v>
      </c>
      <c r="F77" t="s">
        <v>30</v>
      </c>
      <c r="G77" s="2">
        <v>4011.8</v>
      </c>
      <c r="H77" s="2">
        <v>2981.5</v>
      </c>
      <c r="I77" s="2">
        <v>3360.4</v>
      </c>
      <c r="J77" s="2">
        <v>8714.7000000000007</v>
      </c>
      <c r="K77" s="2">
        <v>0.22</v>
      </c>
      <c r="L77" t="s">
        <v>19</v>
      </c>
      <c r="M77" t="s">
        <v>20</v>
      </c>
      <c r="N77" t="s">
        <v>31</v>
      </c>
      <c r="O77" t="s">
        <v>36</v>
      </c>
      <c r="P77" t="s">
        <v>50</v>
      </c>
    </row>
    <row r="78" spans="1:16" x14ac:dyDescent="0.3">
      <c r="A78">
        <v>1088</v>
      </c>
      <c r="B78" s="1">
        <v>45246</v>
      </c>
      <c r="C78" t="s">
        <v>16</v>
      </c>
      <c r="D78" t="s">
        <v>17</v>
      </c>
      <c r="E78">
        <v>13</v>
      </c>
      <c r="F78" t="s">
        <v>30</v>
      </c>
      <c r="G78" s="2">
        <v>8518.4500000000007</v>
      </c>
      <c r="H78" s="2">
        <v>2440.11</v>
      </c>
      <c r="I78" s="2">
        <v>2517.6</v>
      </c>
      <c r="J78" s="2">
        <v>1007.37</v>
      </c>
      <c r="K78" s="2">
        <v>0.23</v>
      </c>
      <c r="L78" t="s">
        <v>26</v>
      </c>
      <c r="M78" t="s">
        <v>27</v>
      </c>
      <c r="N78" t="s">
        <v>31</v>
      </c>
      <c r="O78" t="s">
        <v>36</v>
      </c>
      <c r="P78" t="s">
        <v>23</v>
      </c>
    </row>
    <row r="79" spans="1:16" x14ac:dyDescent="0.3">
      <c r="A79">
        <v>1090</v>
      </c>
      <c r="B79" s="1">
        <v>45250</v>
      </c>
      <c r="C79" t="s">
        <v>39</v>
      </c>
      <c r="D79" t="s">
        <v>34</v>
      </c>
      <c r="E79">
        <v>32</v>
      </c>
      <c r="F79" t="s">
        <v>25</v>
      </c>
      <c r="G79" s="2">
        <v>267.77999999999997</v>
      </c>
      <c r="H79" s="2">
        <v>2678.99</v>
      </c>
      <c r="I79" s="2">
        <v>3152.28</v>
      </c>
      <c r="J79" s="2">
        <v>15145.28</v>
      </c>
      <c r="K79" s="2">
        <v>0.22</v>
      </c>
      <c r="L79" t="s">
        <v>19</v>
      </c>
      <c r="M79" t="s">
        <v>20</v>
      </c>
      <c r="N79" t="s">
        <v>21</v>
      </c>
      <c r="O79" t="s">
        <v>36</v>
      </c>
      <c r="P79" t="s">
        <v>43</v>
      </c>
    </row>
    <row r="80" spans="1:16" x14ac:dyDescent="0.3">
      <c r="A80">
        <v>1014</v>
      </c>
      <c r="B80" s="1">
        <v>45252</v>
      </c>
      <c r="C80" t="s">
        <v>46</v>
      </c>
      <c r="D80" t="s">
        <v>34</v>
      </c>
      <c r="E80">
        <v>17</v>
      </c>
      <c r="F80" t="s">
        <v>35</v>
      </c>
      <c r="G80" s="2">
        <v>9762.5400000000009</v>
      </c>
      <c r="H80" s="2">
        <v>3184.65</v>
      </c>
      <c r="I80" s="2">
        <v>3204.01</v>
      </c>
      <c r="J80" s="2">
        <v>329.12</v>
      </c>
      <c r="K80" s="2">
        <v>0.2</v>
      </c>
      <c r="L80" t="s">
        <v>26</v>
      </c>
      <c r="M80" t="s">
        <v>27</v>
      </c>
      <c r="N80" t="s">
        <v>31</v>
      </c>
      <c r="O80" t="s">
        <v>22</v>
      </c>
      <c r="P80" t="s">
        <v>48</v>
      </c>
    </row>
    <row r="81" spans="1:16" x14ac:dyDescent="0.3">
      <c r="A81">
        <v>1065</v>
      </c>
      <c r="B81" s="1">
        <v>45254</v>
      </c>
      <c r="C81" t="s">
        <v>33</v>
      </c>
      <c r="D81" t="s">
        <v>24</v>
      </c>
      <c r="E81">
        <v>18</v>
      </c>
      <c r="F81" t="s">
        <v>35</v>
      </c>
      <c r="G81" s="2">
        <v>9183.11</v>
      </c>
      <c r="H81" s="2">
        <v>1239.0899999999999</v>
      </c>
      <c r="I81" s="2">
        <v>1273.98</v>
      </c>
      <c r="J81" s="2">
        <v>628.02</v>
      </c>
      <c r="K81" s="2">
        <v>0.02</v>
      </c>
      <c r="L81" t="s">
        <v>26</v>
      </c>
      <c r="M81" t="s">
        <v>27</v>
      </c>
      <c r="N81" t="s">
        <v>31</v>
      </c>
      <c r="O81" t="s">
        <v>36</v>
      </c>
      <c r="P81" t="s">
        <v>56</v>
      </c>
    </row>
    <row r="82" spans="1:16" x14ac:dyDescent="0.3">
      <c r="A82">
        <v>1095</v>
      </c>
      <c r="B82" s="1">
        <v>45255</v>
      </c>
      <c r="C82" t="s">
        <v>39</v>
      </c>
      <c r="D82" t="s">
        <v>24</v>
      </c>
      <c r="E82">
        <v>37</v>
      </c>
      <c r="F82" t="s">
        <v>25</v>
      </c>
      <c r="G82" s="2">
        <v>9432.9699999999993</v>
      </c>
      <c r="H82" s="2">
        <v>407.77</v>
      </c>
      <c r="I82" s="2">
        <v>860.95</v>
      </c>
      <c r="J82" s="2">
        <v>16767.66</v>
      </c>
      <c r="K82" s="2">
        <v>0.1</v>
      </c>
      <c r="L82" t="s">
        <v>19</v>
      </c>
      <c r="M82" t="s">
        <v>27</v>
      </c>
      <c r="N82" t="s">
        <v>42</v>
      </c>
      <c r="O82" t="s">
        <v>36</v>
      </c>
      <c r="P82" t="s">
        <v>40</v>
      </c>
    </row>
    <row r="83" spans="1:16" x14ac:dyDescent="0.3">
      <c r="A83">
        <v>1043</v>
      </c>
      <c r="B83" s="1">
        <v>45256</v>
      </c>
      <c r="C83" t="s">
        <v>33</v>
      </c>
      <c r="D83" t="s">
        <v>29</v>
      </c>
      <c r="E83">
        <v>3</v>
      </c>
      <c r="F83" t="s">
        <v>25</v>
      </c>
      <c r="G83" s="2">
        <v>1710.73</v>
      </c>
      <c r="H83" s="2">
        <v>2009.1</v>
      </c>
      <c r="I83" s="2">
        <v>2186.42</v>
      </c>
      <c r="J83" s="2">
        <v>531.96</v>
      </c>
      <c r="K83" s="2">
        <v>0.25</v>
      </c>
      <c r="L83" t="s">
        <v>26</v>
      </c>
      <c r="M83" t="s">
        <v>27</v>
      </c>
      <c r="N83" t="s">
        <v>31</v>
      </c>
      <c r="O83" t="s">
        <v>22</v>
      </c>
      <c r="P83" t="s">
        <v>53</v>
      </c>
    </row>
    <row r="84" spans="1:16" x14ac:dyDescent="0.3">
      <c r="A84">
        <v>1082</v>
      </c>
      <c r="B84" s="1">
        <v>45260</v>
      </c>
      <c r="C84" t="s">
        <v>39</v>
      </c>
      <c r="D84" t="s">
        <v>29</v>
      </c>
      <c r="E84">
        <v>41</v>
      </c>
      <c r="F84" t="s">
        <v>25</v>
      </c>
      <c r="G84" s="2">
        <v>6261.9</v>
      </c>
      <c r="H84" s="2">
        <v>1196.42</v>
      </c>
      <c r="I84" s="2">
        <v>1444.97</v>
      </c>
      <c r="J84" s="2">
        <v>10190.549999999999</v>
      </c>
      <c r="K84" s="2">
        <v>0.21</v>
      </c>
      <c r="L84" t="s">
        <v>19</v>
      </c>
      <c r="M84" t="s">
        <v>20</v>
      </c>
      <c r="N84" t="s">
        <v>31</v>
      </c>
      <c r="O84" t="s">
        <v>22</v>
      </c>
      <c r="P84" t="s">
        <v>54</v>
      </c>
    </row>
    <row r="85" spans="1:16" x14ac:dyDescent="0.3">
      <c r="A85">
        <v>1055</v>
      </c>
      <c r="B85" s="1">
        <v>45261</v>
      </c>
      <c r="C85" t="s">
        <v>44</v>
      </c>
      <c r="D85" t="s">
        <v>34</v>
      </c>
      <c r="E85">
        <v>8</v>
      </c>
      <c r="F85" t="s">
        <v>30</v>
      </c>
      <c r="G85" s="2">
        <v>4102.47</v>
      </c>
      <c r="H85" s="3">
        <v>3513</v>
      </c>
      <c r="I85" s="2">
        <v>3838.42</v>
      </c>
      <c r="J85" s="2">
        <v>2603.36</v>
      </c>
      <c r="K85" s="2">
        <v>0.13</v>
      </c>
      <c r="L85" t="s">
        <v>26</v>
      </c>
      <c r="M85" t="s">
        <v>20</v>
      </c>
      <c r="N85" t="s">
        <v>31</v>
      </c>
      <c r="O85" t="s">
        <v>22</v>
      </c>
      <c r="P85" t="s">
        <v>49</v>
      </c>
    </row>
    <row r="86" spans="1:16" x14ac:dyDescent="0.3">
      <c r="A86">
        <v>1031</v>
      </c>
      <c r="B86" s="1">
        <v>45268</v>
      </c>
      <c r="C86" t="s">
        <v>46</v>
      </c>
      <c r="D86" t="s">
        <v>17</v>
      </c>
      <c r="E86">
        <v>22</v>
      </c>
      <c r="F86" t="s">
        <v>35</v>
      </c>
      <c r="G86" s="2">
        <v>7567.06</v>
      </c>
      <c r="H86" s="2">
        <v>4236.05</v>
      </c>
      <c r="I86" s="2">
        <v>4382.32</v>
      </c>
      <c r="J86" s="2">
        <v>3217.94</v>
      </c>
      <c r="K86" s="2">
        <v>0.2</v>
      </c>
      <c r="L86" t="s">
        <v>26</v>
      </c>
      <c r="M86" t="s">
        <v>27</v>
      </c>
      <c r="N86" t="s">
        <v>31</v>
      </c>
      <c r="O86" t="s">
        <v>22</v>
      </c>
      <c r="P86" t="s">
        <v>55</v>
      </c>
    </row>
    <row r="87" spans="1:16" x14ac:dyDescent="0.3">
      <c r="A87">
        <v>1045</v>
      </c>
      <c r="B87" s="1">
        <v>45275</v>
      </c>
      <c r="C87" t="s">
        <v>46</v>
      </c>
      <c r="D87" t="s">
        <v>29</v>
      </c>
      <c r="E87">
        <v>42</v>
      </c>
      <c r="F87" t="s">
        <v>18</v>
      </c>
      <c r="G87" s="2">
        <v>3517.4</v>
      </c>
      <c r="H87" s="2">
        <v>3587.74</v>
      </c>
      <c r="I87" s="2">
        <v>3745.91</v>
      </c>
      <c r="J87" s="2">
        <v>6643.14</v>
      </c>
      <c r="K87" s="2">
        <v>1</v>
      </c>
      <c r="L87" t="s">
        <v>19</v>
      </c>
      <c r="M87" t="s">
        <v>20</v>
      </c>
      <c r="N87" t="s">
        <v>21</v>
      </c>
      <c r="O87" t="s">
        <v>22</v>
      </c>
      <c r="P87" t="s">
        <v>50</v>
      </c>
    </row>
    <row r="88" spans="1:16" x14ac:dyDescent="0.3">
      <c r="A88">
        <v>1060</v>
      </c>
      <c r="B88" s="1">
        <v>45276</v>
      </c>
      <c r="C88" t="s">
        <v>16</v>
      </c>
      <c r="D88" t="s">
        <v>24</v>
      </c>
      <c r="E88">
        <v>44</v>
      </c>
      <c r="F88" t="s">
        <v>18</v>
      </c>
      <c r="G88" s="2">
        <v>3224.71</v>
      </c>
      <c r="H88" s="2">
        <v>3784.96</v>
      </c>
      <c r="I88" s="2">
        <v>4276.99</v>
      </c>
      <c r="J88" s="2">
        <v>21649.32</v>
      </c>
      <c r="K88" s="2">
        <v>0.06</v>
      </c>
      <c r="L88" t="s">
        <v>19</v>
      </c>
      <c r="M88" t="s">
        <v>27</v>
      </c>
      <c r="N88" t="s">
        <v>31</v>
      </c>
      <c r="O88" t="s">
        <v>36</v>
      </c>
      <c r="P88" t="s">
        <v>28</v>
      </c>
    </row>
    <row r="89" spans="1:16" x14ac:dyDescent="0.3">
      <c r="A89">
        <v>1003</v>
      </c>
      <c r="B89" s="1">
        <v>45291</v>
      </c>
      <c r="C89" t="s">
        <v>39</v>
      </c>
      <c r="D89" t="s">
        <v>29</v>
      </c>
      <c r="E89">
        <v>37.33</v>
      </c>
      <c r="F89" t="s">
        <v>30</v>
      </c>
      <c r="G89" s="2">
        <v>4775.59</v>
      </c>
      <c r="H89" s="2">
        <v>4190.28</v>
      </c>
      <c r="I89" s="2">
        <v>4270.6499999999996</v>
      </c>
      <c r="J89" s="2">
        <v>3000</v>
      </c>
      <c r="K89" s="2">
        <v>0.2</v>
      </c>
      <c r="L89" t="s">
        <v>26</v>
      </c>
      <c r="M89" t="s">
        <v>27</v>
      </c>
      <c r="N89" t="s">
        <v>21</v>
      </c>
      <c r="O89" t="s">
        <v>22</v>
      </c>
      <c r="P89" t="s">
        <v>54</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outlinePr summaryBelow="0"/>
  </sheetPr>
  <dimension ref="B1:F11"/>
  <sheetViews>
    <sheetView showGridLines="0" workbookViewId="0">
      <selection activeCell="K28" sqref="K28"/>
    </sheetView>
  </sheetViews>
  <sheetFormatPr defaultRowHeight="14.4" outlineLevelRow="1" outlineLevelCol="1" x14ac:dyDescent="0.3"/>
  <cols>
    <col min="3" max="3" width="5.88671875" bestFit="1" customWidth="1"/>
    <col min="4" max="6" width="13.109375" bestFit="1" customWidth="1" outlineLevel="1"/>
  </cols>
  <sheetData>
    <row r="1" spans="2:6" ht="15" thickBot="1" x14ac:dyDescent="0.35"/>
    <row r="2" spans="2:6" ht="15.6" x14ac:dyDescent="0.3">
      <c r="B2" s="18" t="s">
        <v>89</v>
      </c>
      <c r="C2" s="18"/>
      <c r="D2" s="23"/>
      <c r="E2" s="23"/>
      <c r="F2" s="23"/>
    </row>
    <row r="3" spans="2:6" ht="15.6" collapsed="1" x14ac:dyDescent="0.3">
      <c r="B3" s="17"/>
      <c r="C3" s="17"/>
      <c r="D3" s="24" t="s">
        <v>91</v>
      </c>
      <c r="E3" s="24" t="s">
        <v>88</v>
      </c>
      <c r="F3" s="24" t="s">
        <v>97</v>
      </c>
    </row>
    <row r="4" spans="2:6" ht="20.399999999999999" hidden="1" outlineLevel="1" x14ac:dyDescent="0.3">
      <c r="B4" s="20"/>
      <c r="C4" s="20"/>
      <c r="D4" s="14"/>
      <c r="E4" s="26" t="s">
        <v>96</v>
      </c>
      <c r="F4" s="26" t="s">
        <v>98</v>
      </c>
    </row>
    <row r="5" spans="2:6" x14ac:dyDescent="0.3">
      <c r="B5" s="21" t="s">
        <v>90</v>
      </c>
      <c r="C5" s="21"/>
      <c r="D5" s="19"/>
      <c r="E5" s="19"/>
      <c r="F5" s="19"/>
    </row>
    <row r="6" spans="2:6" outlineLevel="1" x14ac:dyDescent="0.3">
      <c r="B6" s="20"/>
      <c r="C6" s="20" t="s">
        <v>86</v>
      </c>
      <c r="D6" s="15">
        <v>4270.6499999999996</v>
      </c>
      <c r="E6" s="25">
        <v>4270.6499999999996</v>
      </c>
      <c r="F6" s="25">
        <v>50</v>
      </c>
    </row>
    <row r="7" spans="2:6" x14ac:dyDescent="0.3">
      <c r="B7" s="21" t="s">
        <v>92</v>
      </c>
      <c r="C7" s="21"/>
      <c r="D7" s="19"/>
      <c r="E7" s="19"/>
      <c r="F7" s="19"/>
    </row>
    <row r="8" spans="2:6" ht="15" outlineLevel="1" thickBot="1" x14ac:dyDescent="0.35">
      <c r="B8" s="22"/>
      <c r="C8" s="22" t="s">
        <v>87</v>
      </c>
      <c r="D8" s="16">
        <v>200000</v>
      </c>
      <c r="E8" s="16">
        <v>200000</v>
      </c>
      <c r="F8" s="16">
        <v>2341.56393054921</v>
      </c>
    </row>
    <row r="9" spans="2:6" x14ac:dyDescent="0.3">
      <c r="B9" t="s">
        <v>93</v>
      </c>
    </row>
    <row r="10" spans="2:6" x14ac:dyDescent="0.3">
      <c r="B10" t="s">
        <v>94</v>
      </c>
    </row>
    <row r="11" spans="2:6" x14ac:dyDescent="0.3">
      <c r="B11" t="s">
        <v>95</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dimension ref="A1:Q89"/>
  <sheetViews>
    <sheetView workbookViewId="0">
      <selection activeCell="H94" sqref="H94"/>
    </sheetView>
  </sheetViews>
  <sheetFormatPr defaultRowHeight="14.4" x14ac:dyDescent="0.3"/>
  <cols>
    <col min="1" max="1" width="12.33203125" customWidth="1"/>
    <col min="2" max="2" width="11.21875" customWidth="1"/>
    <col min="3" max="3" width="11.33203125" customWidth="1"/>
    <col min="4" max="4" width="8.6640625" customWidth="1"/>
    <col min="5" max="5" width="14.88671875" customWidth="1"/>
    <col min="6" max="6" width="18.109375" customWidth="1"/>
    <col min="7" max="7" width="15" customWidth="1"/>
    <col min="8" max="8" width="11.109375" customWidth="1"/>
    <col min="9" max="9" width="11.5546875" customWidth="1"/>
    <col min="10" max="10" width="10.44140625" bestFit="1" customWidth="1"/>
    <col min="11" max="11" width="10.21875" customWidth="1"/>
    <col min="12" max="12" width="13.6640625" customWidth="1"/>
    <col min="13" max="13" width="13.21875" customWidth="1"/>
    <col min="14" max="14" width="16.109375" customWidth="1"/>
    <col min="15" max="15" width="18.21875" customWidth="1"/>
    <col min="16" max="16" width="15" customWidth="1"/>
    <col min="17" max="17" width="22.33203125" customWidth="1"/>
  </cols>
  <sheetData>
    <row r="1" spans="1:17" x14ac:dyDescent="0.3">
      <c r="A1" s="4" t="s">
        <v>0</v>
      </c>
      <c r="B1" s="4" t="s">
        <v>1</v>
      </c>
      <c r="C1" s="4" t="s">
        <v>2</v>
      </c>
      <c r="D1" s="4" t="s">
        <v>3</v>
      </c>
      <c r="E1" s="4" t="s">
        <v>4</v>
      </c>
      <c r="F1" s="4" t="s">
        <v>5</v>
      </c>
      <c r="G1" s="5" t="s">
        <v>6</v>
      </c>
      <c r="H1" s="5" t="s">
        <v>7</v>
      </c>
      <c r="I1" s="5" t="s">
        <v>8</v>
      </c>
      <c r="J1" s="5" t="s">
        <v>9</v>
      </c>
      <c r="K1" s="5" t="s">
        <v>10</v>
      </c>
      <c r="L1" s="5" t="s">
        <v>85</v>
      </c>
      <c r="M1" s="4" t="s">
        <v>11</v>
      </c>
      <c r="N1" s="4" t="s">
        <v>12</v>
      </c>
      <c r="O1" s="4" t="s">
        <v>13</v>
      </c>
      <c r="P1" s="4" t="s">
        <v>14</v>
      </c>
      <c r="Q1" s="4" t="s">
        <v>15</v>
      </c>
    </row>
    <row r="2" spans="1:17" x14ac:dyDescent="0.3">
      <c r="A2">
        <v>1008</v>
      </c>
      <c r="B2" s="1">
        <v>44927</v>
      </c>
      <c r="C2" t="s">
        <v>16</v>
      </c>
      <c r="D2" t="s">
        <v>17</v>
      </c>
      <c r="E2">
        <v>38</v>
      </c>
      <c r="F2" t="s">
        <v>18</v>
      </c>
      <c r="G2" s="2">
        <v>5227.8100000000004</v>
      </c>
      <c r="H2" s="2">
        <v>4635.2299999999996</v>
      </c>
      <c r="I2" s="2">
        <v>5075.4399999999996</v>
      </c>
      <c r="J2" s="2">
        <v>16727.98</v>
      </c>
      <c r="K2" s="2">
        <v>0.05</v>
      </c>
      <c r="L2" s="2">
        <f>E2*I2</f>
        <v>192866.71999999997</v>
      </c>
      <c r="M2" t="str">
        <f>IF(G2:G89&gt;=5000, "High Profit","Low Profit")</f>
        <v>High Profit</v>
      </c>
      <c r="N2" t="s">
        <v>20</v>
      </c>
      <c r="O2" t="s">
        <v>21</v>
      </c>
      <c r="P2" t="s">
        <v>22</v>
      </c>
      <c r="Q2" t="s">
        <v>23</v>
      </c>
    </row>
    <row r="3" spans="1:17" x14ac:dyDescent="0.3">
      <c r="A3">
        <v>1064</v>
      </c>
      <c r="B3" s="1">
        <v>44930</v>
      </c>
      <c r="C3" t="s">
        <v>16</v>
      </c>
      <c r="D3" t="s">
        <v>24</v>
      </c>
      <c r="E3">
        <v>10</v>
      </c>
      <c r="F3" t="s">
        <v>25</v>
      </c>
      <c r="G3" s="2">
        <v>7412.11</v>
      </c>
      <c r="H3" s="2">
        <v>4764.96</v>
      </c>
      <c r="I3" s="2">
        <v>5074.42</v>
      </c>
      <c r="J3" s="2">
        <v>3094.6</v>
      </c>
      <c r="K3" s="2">
        <v>0.12</v>
      </c>
      <c r="L3" s="2">
        <f>E3*I3</f>
        <v>50744.2</v>
      </c>
      <c r="M3" t="s">
        <v>26</v>
      </c>
      <c r="N3" t="s">
        <v>27</v>
      </c>
      <c r="O3" t="s">
        <v>21</v>
      </c>
      <c r="P3" t="s">
        <v>22</v>
      </c>
      <c r="Q3" t="s">
        <v>28</v>
      </c>
    </row>
    <row r="4" spans="1:17" x14ac:dyDescent="0.3">
      <c r="A4">
        <v>1087</v>
      </c>
      <c r="B4" s="1">
        <v>44932</v>
      </c>
      <c r="C4" t="s">
        <v>16</v>
      </c>
      <c r="D4" t="s">
        <v>29</v>
      </c>
      <c r="E4">
        <v>46</v>
      </c>
      <c r="F4" t="s">
        <v>30</v>
      </c>
      <c r="G4" s="2">
        <v>7698.92</v>
      </c>
      <c r="H4" s="2">
        <v>3702.51</v>
      </c>
      <c r="I4" s="2">
        <v>3964.65</v>
      </c>
      <c r="J4" s="2">
        <v>12058.44</v>
      </c>
      <c r="K4" s="2">
        <v>0.12</v>
      </c>
      <c r="L4" s="2">
        <f t="shared" ref="L4:L67" si="0">E4*I4</f>
        <v>182373.9</v>
      </c>
      <c r="M4" t="s">
        <v>19</v>
      </c>
      <c r="N4" t="s">
        <v>27</v>
      </c>
      <c r="O4" t="s">
        <v>31</v>
      </c>
      <c r="P4" t="s">
        <v>22</v>
      </c>
      <c r="Q4" t="s">
        <v>32</v>
      </c>
    </row>
    <row r="5" spans="1:17" x14ac:dyDescent="0.3">
      <c r="A5">
        <v>1094</v>
      </c>
      <c r="B5" s="1">
        <v>44936</v>
      </c>
      <c r="C5" t="s">
        <v>16</v>
      </c>
      <c r="D5" t="s">
        <v>17</v>
      </c>
      <c r="E5">
        <v>25</v>
      </c>
      <c r="F5" t="s">
        <v>25</v>
      </c>
      <c r="G5" s="2">
        <v>2548.67</v>
      </c>
      <c r="H5" s="2">
        <v>1933.39</v>
      </c>
      <c r="I5" s="2">
        <v>1982.92</v>
      </c>
      <c r="J5" s="2">
        <v>1238.25</v>
      </c>
      <c r="K5" s="2">
        <v>0.17</v>
      </c>
      <c r="L5" s="2">
        <f t="shared" si="0"/>
        <v>49573</v>
      </c>
      <c r="M5" t="s">
        <v>26</v>
      </c>
      <c r="N5" t="s">
        <v>27</v>
      </c>
      <c r="O5" t="s">
        <v>31</v>
      </c>
      <c r="P5" t="s">
        <v>22</v>
      </c>
      <c r="Q5" t="s">
        <v>23</v>
      </c>
    </row>
    <row r="6" spans="1:17" x14ac:dyDescent="0.3">
      <c r="A6">
        <v>1027</v>
      </c>
      <c r="B6" s="1">
        <v>44941</v>
      </c>
      <c r="C6" t="s">
        <v>33</v>
      </c>
      <c r="D6" t="s">
        <v>34</v>
      </c>
      <c r="E6">
        <v>26</v>
      </c>
      <c r="F6" t="s">
        <v>35</v>
      </c>
      <c r="G6" s="2">
        <v>6261.2</v>
      </c>
      <c r="H6" s="2">
        <v>149.11000000000001</v>
      </c>
      <c r="I6" s="2">
        <v>477.67</v>
      </c>
      <c r="J6" s="2">
        <v>8542.56</v>
      </c>
      <c r="K6" s="2">
        <v>0.14000000000000001</v>
      </c>
      <c r="L6" s="2">
        <f t="shared" si="0"/>
        <v>12419.42</v>
      </c>
      <c r="M6" t="s">
        <v>19</v>
      </c>
      <c r="N6" t="s">
        <v>20</v>
      </c>
      <c r="O6" t="s">
        <v>21</v>
      </c>
      <c r="P6" t="s">
        <v>36</v>
      </c>
      <c r="Q6" t="s">
        <v>37</v>
      </c>
    </row>
    <row r="7" spans="1:17" x14ac:dyDescent="0.3">
      <c r="A7">
        <v>1046</v>
      </c>
      <c r="B7" s="1">
        <v>44946</v>
      </c>
      <c r="C7" t="s">
        <v>16</v>
      </c>
      <c r="D7" t="s">
        <v>24</v>
      </c>
      <c r="E7">
        <v>43</v>
      </c>
      <c r="F7" t="s">
        <v>18</v>
      </c>
      <c r="G7" s="2">
        <v>4104.82</v>
      </c>
      <c r="H7" s="2">
        <v>4052.42</v>
      </c>
      <c r="I7" s="2">
        <v>4199.3</v>
      </c>
      <c r="J7" s="2">
        <v>6315.84</v>
      </c>
      <c r="K7" s="2">
        <v>0.1</v>
      </c>
      <c r="L7" s="2">
        <f t="shared" si="0"/>
        <v>180569.9</v>
      </c>
      <c r="M7" t="s">
        <v>19</v>
      </c>
      <c r="N7" t="s">
        <v>27</v>
      </c>
      <c r="O7" t="s">
        <v>31</v>
      </c>
      <c r="P7" t="s">
        <v>36</v>
      </c>
      <c r="Q7" t="s">
        <v>28</v>
      </c>
    </row>
    <row r="8" spans="1:17" x14ac:dyDescent="0.3">
      <c r="A8">
        <v>1037</v>
      </c>
      <c r="B8" s="1">
        <v>44949</v>
      </c>
      <c r="C8" t="s">
        <v>33</v>
      </c>
      <c r="D8" t="s">
        <v>17</v>
      </c>
      <c r="E8">
        <v>40</v>
      </c>
      <c r="F8" t="s">
        <v>18</v>
      </c>
      <c r="G8" s="2">
        <v>9813.81</v>
      </c>
      <c r="H8" s="2">
        <v>2790.11</v>
      </c>
      <c r="I8" s="2">
        <v>3192.37</v>
      </c>
      <c r="J8" s="2">
        <v>16090.4</v>
      </c>
      <c r="K8" s="2">
        <v>0.26</v>
      </c>
      <c r="L8" s="2">
        <f t="shared" si="0"/>
        <v>127694.79999999999</v>
      </c>
      <c r="M8" t="s">
        <v>19</v>
      </c>
      <c r="N8" t="s">
        <v>20</v>
      </c>
      <c r="O8" t="s">
        <v>31</v>
      </c>
      <c r="P8" t="s">
        <v>22</v>
      </c>
      <c r="Q8" t="s">
        <v>38</v>
      </c>
    </row>
    <row r="9" spans="1:17" x14ac:dyDescent="0.3">
      <c r="A9">
        <v>1018</v>
      </c>
      <c r="B9" s="1">
        <v>44952</v>
      </c>
      <c r="C9" t="s">
        <v>39</v>
      </c>
      <c r="D9" t="s">
        <v>24</v>
      </c>
      <c r="E9">
        <v>11</v>
      </c>
      <c r="F9" t="s">
        <v>18</v>
      </c>
      <c r="G9" s="2">
        <v>3187.45</v>
      </c>
      <c r="H9" s="2">
        <v>2414.8200000000002</v>
      </c>
      <c r="I9" s="2">
        <v>2519.0700000000002</v>
      </c>
      <c r="J9" s="2">
        <v>1146.75</v>
      </c>
      <c r="K9" s="2">
        <v>0</v>
      </c>
      <c r="L9" s="2">
        <f t="shared" si="0"/>
        <v>27709.77</v>
      </c>
      <c r="M9" t="s">
        <v>26</v>
      </c>
      <c r="N9" t="s">
        <v>20</v>
      </c>
      <c r="O9" t="s">
        <v>21</v>
      </c>
      <c r="P9" t="s">
        <v>22</v>
      </c>
      <c r="Q9" t="s">
        <v>40</v>
      </c>
    </row>
    <row r="10" spans="1:17" x14ac:dyDescent="0.3">
      <c r="A10">
        <v>1042</v>
      </c>
      <c r="B10" s="1">
        <v>44957</v>
      </c>
      <c r="C10" t="s">
        <v>39</v>
      </c>
      <c r="D10" t="s">
        <v>17</v>
      </c>
      <c r="E10">
        <v>11</v>
      </c>
      <c r="F10" t="s">
        <v>35</v>
      </c>
      <c r="G10" s="2">
        <v>5207.03</v>
      </c>
      <c r="H10" s="2">
        <v>635.20000000000005</v>
      </c>
      <c r="I10" s="2">
        <v>814.14</v>
      </c>
      <c r="J10" s="2">
        <v>1968.34</v>
      </c>
      <c r="K10" s="2">
        <v>0.02</v>
      </c>
      <c r="L10" s="2">
        <f t="shared" si="0"/>
        <v>8955.5399999999991</v>
      </c>
      <c r="M10" t="s">
        <v>26</v>
      </c>
      <c r="N10" t="s">
        <v>20</v>
      </c>
      <c r="O10" t="s">
        <v>21</v>
      </c>
      <c r="P10" t="s">
        <v>22</v>
      </c>
      <c r="Q10" t="s">
        <v>41</v>
      </c>
    </row>
    <row r="11" spans="1:17" x14ac:dyDescent="0.3">
      <c r="A11">
        <v>1052</v>
      </c>
      <c r="B11" s="1">
        <v>44960</v>
      </c>
      <c r="C11" t="s">
        <v>33</v>
      </c>
      <c r="D11" t="s">
        <v>17</v>
      </c>
      <c r="E11">
        <v>18</v>
      </c>
      <c r="F11" t="s">
        <v>30</v>
      </c>
      <c r="G11" s="2">
        <v>5053.97</v>
      </c>
      <c r="H11" s="2">
        <v>152.75</v>
      </c>
      <c r="I11" s="2">
        <v>267.22000000000003</v>
      </c>
      <c r="J11" s="2">
        <v>2060.46</v>
      </c>
      <c r="K11" s="2">
        <v>0.09</v>
      </c>
      <c r="L11" s="2">
        <f t="shared" si="0"/>
        <v>4809.9600000000009</v>
      </c>
      <c r="M11" t="s">
        <v>26</v>
      </c>
      <c r="N11" t="s">
        <v>20</v>
      </c>
      <c r="O11" t="s">
        <v>21</v>
      </c>
      <c r="P11" t="s">
        <v>22</v>
      </c>
      <c r="Q11" t="s">
        <v>38</v>
      </c>
    </row>
    <row r="12" spans="1:17" x14ac:dyDescent="0.3">
      <c r="A12">
        <v>1026</v>
      </c>
      <c r="B12" s="1">
        <v>44961</v>
      </c>
      <c r="C12" t="s">
        <v>39</v>
      </c>
      <c r="D12" t="s">
        <v>34</v>
      </c>
      <c r="E12">
        <v>19</v>
      </c>
      <c r="F12" t="s">
        <v>25</v>
      </c>
      <c r="G12" s="2">
        <v>1554.93</v>
      </c>
      <c r="H12" s="2">
        <v>1265.48</v>
      </c>
      <c r="I12" s="2">
        <v>1715.83</v>
      </c>
      <c r="J12" s="2">
        <v>8556.65</v>
      </c>
      <c r="K12" s="2">
        <v>0.05</v>
      </c>
      <c r="L12" s="2">
        <f t="shared" si="0"/>
        <v>32600.769999999997</v>
      </c>
      <c r="M12" t="s">
        <v>19</v>
      </c>
      <c r="N12" t="s">
        <v>27</v>
      </c>
      <c r="O12" t="s">
        <v>42</v>
      </c>
      <c r="P12" t="s">
        <v>36</v>
      </c>
      <c r="Q12" t="s">
        <v>43</v>
      </c>
    </row>
    <row r="13" spans="1:17" x14ac:dyDescent="0.3">
      <c r="A13">
        <v>1080</v>
      </c>
      <c r="B13" s="1">
        <v>44962</v>
      </c>
      <c r="C13" t="s">
        <v>44</v>
      </c>
      <c r="D13" t="s">
        <v>29</v>
      </c>
      <c r="E13">
        <v>9</v>
      </c>
      <c r="F13" t="s">
        <v>25</v>
      </c>
      <c r="G13" s="2">
        <v>245.46</v>
      </c>
      <c r="H13" s="2">
        <v>1141.52</v>
      </c>
      <c r="I13" s="2">
        <v>1550.19</v>
      </c>
      <c r="J13" s="2">
        <v>3678.03</v>
      </c>
      <c r="K13" s="2">
        <v>0.28000000000000003</v>
      </c>
      <c r="L13" s="2">
        <f t="shared" si="0"/>
        <v>13951.710000000001</v>
      </c>
      <c r="M13" t="s">
        <v>26</v>
      </c>
      <c r="N13" t="s">
        <v>27</v>
      </c>
      <c r="O13" t="s">
        <v>42</v>
      </c>
      <c r="P13" t="s">
        <v>36</v>
      </c>
      <c r="Q13" t="s">
        <v>45</v>
      </c>
    </row>
    <row r="14" spans="1:17" x14ac:dyDescent="0.3">
      <c r="A14">
        <v>1081</v>
      </c>
      <c r="B14" s="1">
        <v>44964</v>
      </c>
      <c r="C14" t="s">
        <v>46</v>
      </c>
      <c r="D14" t="s">
        <v>24</v>
      </c>
      <c r="E14">
        <v>41</v>
      </c>
      <c r="F14" t="s">
        <v>30</v>
      </c>
      <c r="G14" s="2">
        <v>3068.03</v>
      </c>
      <c r="H14" s="2">
        <v>2782.08</v>
      </c>
      <c r="I14" s="2">
        <v>2879.24</v>
      </c>
      <c r="J14" s="2">
        <v>3983.56</v>
      </c>
      <c r="K14" s="2">
        <v>0.21</v>
      </c>
      <c r="L14" s="2">
        <f t="shared" si="0"/>
        <v>118048.84</v>
      </c>
      <c r="M14" t="s">
        <v>26</v>
      </c>
      <c r="N14" t="s">
        <v>27</v>
      </c>
      <c r="O14" t="s">
        <v>31</v>
      </c>
      <c r="P14" t="s">
        <v>22</v>
      </c>
      <c r="Q14" t="s">
        <v>47</v>
      </c>
    </row>
    <row r="15" spans="1:17" x14ac:dyDescent="0.3">
      <c r="A15">
        <v>1092</v>
      </c>
      <c r="B15" s="1">
        <v>44966</v>
      </c>
      <c r="C15" t="s">
        <v>46</v>
      </c>
      <c r="D15" t="s">
        <v>34</v>
      </c>
      <c r="E15">
        <v>34</v>
      </c>
      <c r="F15" t="s">
        <v>30</v>
      </c>
      <c r="G15" s="2">
        <v>2749.17</v>
      </c>
      <c r="H15" s="2">
        <v>2037.41</v>
      </c>
      <c r="I15" s="2">
        <v>2238.65</v>
      </c>
      <c r="J15" s="2">
        <v>6842.16</v>
      </c>
      <c r="K15" s="2">
        <v>0.3</v>
      </c>
      <c r="L15" s="2">
        <f t="shared" si="0"/>
        <v>76114.100000000006</v>
      </c>
      <c r="M15" t="s">
        <v>19</v>
      </c>
      <c r="N15" t="s">
        <v>27</v>
      </c>
      <c r="O15" t="s">
        <v>42</v>
      </c>
      <c r="P15" t="s">
        <v>22</v>
      </c>
      <c r="Q15" t="s">
        <v>48</v>
      </c>
    </row>
    <row r="16" spans="1:17" x14ac:dyDescent="0.3">
      <c r="A16">
        <v>1021</v>
      </c>
      <c r="B16" s="1">
        <v>44968</v>
      </c>
      <c r="C16" t="s">
        <v>44</v>
      </c>
      <c r="D16" t="s">
        <v>34</v>
      </c>
      <c r="E16">
        <v>32</v>
      </c>
      <c r="F16" t="s">
        <v>35</v>
      </c>
      <c r="G16" s="2">
        <v>3761.15</v>
      </c>
      <c r="H16" s="2">
        <v>900.79</v>
      </c>
      <c r="I16" s="2">
        <v>1106.51</v>
      </c>
      <c r="J16" s="2">
        <v>6583.04</v>
      </c>
      <c r="K16" s="2">
        <v>0.21</v>
      </c>
      <c r="L16" s="2">
        <f t="shared" si="0"/>
        <v>35408.32</v>
      </c>
      <c r="M16" t="s">
        <v>19</v>
      </c>
      <c r="N16" t="s">
        <v>27</v>
      </c>
      <c r="O16" t="s">
        <v>21</v>
      </c>
      <c r="P16" t="s">
        <v>22</v>
      </c>
      <c r="Q16" t="s">
        <v>49</v>
      </c>
    </row>
    <row r="17" spans="1:17" x14ac:dyDescent="0.3">
      <c r="A17">
        <v>1044</v>
      </c>
      <c r="B17" s="1">
        <v>44973</v>
      </c>
      <c r="C17" t="s">
        <v>46</v>
      </c>
      <c r="D17" t="s">
        <v>29</v>
      </c>
      <c r="E17">
        <v>22</v>
      </c>
      <c r="F17" t="s">
        <v>35</v>
      </c>
      <c r="G17" s="2">
        <v>7754.1</v>
      </c>
      <c r="H17" s="2">
        <v>3373.46</v>
      </c>
      <c r="I17" s="2">
        <v>3454.76</v>
      </c>
      <c r="J17" s="2">
        <v>1788.6</v>
      </c>
      <c r="K17" s="2">
        <v>0.22</v>
      </c>
      <c r="L17" s="2">
        <f t="shared" si="0"/>
        <v>76004.72</v>
      </c>
      <c r="M17" t="s">
        <v>26</v>
      </c>
      <c r="N17" t="s">
        <v>20</v>
      </c>
      <c r="O17" t="s">
        <v>31</v>
      </c>
      <c r="P17" t="s">
        <v>36</v>
      </c>
      <c r="Q17" t="s">
        <v>50</v>
      </c>
    </row>
    <row r="18" spans="1:17" x14ac:dyDescent="0.3">
      <c r="A18">
        <v>1068</v>
      </c>
      <c r="B18" s="1">
        <v>44981</v>
      </c>
      <c r="C18" t="s">
        <v>33</v>
      </c>
      <c r="D18" t="s">
        <v>17</v>
      </c>
      <c r="E18">
        <v>22</v>
      </c>
      <c r="F18" t="s">
        <v>18</v>
      </c>
      <c r="G18" s="2">
        <v>5118.51</v>
      </c>
      <c r="H18" s="2">
        <v>3619.61</v>
      </c>
      <c r="I18" s="2">
        <v>3651.42</v>
      </c>
      <c r="J18" s="2">
        <v>699.82</v>
      </c>
      <c r="K18" s="2">
        <v>0.26</v>
      </c>
      <c r="L18" s="2">
        <f t="shared" si="0"/>
        <v>80331.240000000005</v>
      </c>
      <c r="M18" t="s">
        <v>26</v>
      </c>
      <c r="N18" t="s">
        <v>20</v>
      </c>
      <c r="O18" t="s">
        <v>31</v>
      </c>
      <c r="P18" t="s">
        <v>22</v>
      </c>
      <c r="Q18" t="s">
        <v>38</v>
      </c>
    </row>
    <row r="19" spans="1:17" x14ac:dyDescent="0.3">
      <c r="A19">
        <v>1029</v>
      </c>
      <c r="B19" s="1">
        <v>44986</v>
      </c>
      <c r="C19" t="s">
        <v>46</v>
      </c>
      <c r="D19" t="s">
        <v>24</v>
      </c>
      <c r="E19">
        <v>28</v>
      </c>
      <c r="F19" t="s">
        <v>18</v>
      </c>
      <c r="G19" s="2">
        <v>6773.89</v>
      </c>
      <c r="H19" s="2">
        <v>2873.53</v>
      </c>
      <c r="I19" s="2">
        <v>3108.3</v>
      </c>
      <c r="J19" s="2">
        <v>6573.56</v>
      </c>
      <c r="K19" s="2">
        <v>0.15</v>
      </c>
      <c r="L19" s="2">
        <f t="shared" si="0"/>
        <v>87032.400000000009</v>
      </c>
      <c r="M19" t="s">
        <v>19</v>
      </c>
      <c r="N19" t="s">
        <v>27</v>
      </c>
      <c r="O19" t="s">
        <v>42</v>
      </c>
      <c r="P19" t="s">
        <v>36</v>
      </c>
      <c r="Q19" t="s">
        <v>47</v>
      </c>
    </row>
    <row r="20" spans="1:17" x14ac:dyDescent="0.3">
      <c r="A20">
        <v>1007</v>
      </c>
      <c r="B20" s="1">
        <v>44988</v>
      </c>
      <c r="C20" t="s">
        <v>16</v>
      </c>
      <c r="D20" t="s">
        <v>34</v>
      </c>
      <c r="E20">
        <v>1</v>
      </c>
      <c r="F20" t="s">
        <v>35</v>
      </c>
      <c r="G20" s="2">
        <v>4694.54</v>
      </c>
      <c r="H20" s="2">
        <v>2543.2600000000002</v>
      </c>
      <c r="I20" s="2">
        <v>2637.91</v>
      </c>
      <c r="J20" s="2">
        <v>94.65</v>
      </c>
      <c r="K20" s="2">
        <v>0.2</v>
      </c>
      <c r="L20" s="2">
        <f t="shared" si="0"/>
        <v>2637.91</v>
      </c>
      <c r="M20" t="s">
        <v>26</v>
      </c>
      <c r="N20" t="s">
        <v>20</v>
      </c>
      <c r="O20" t="s">
        <v>42</v>
      </c>
      <c r="P20" t="s">
        <v>22</v>
      </c>
      <c r="Q20" t="s">
        <v>51</v>
      </c>
    </row>
    <row r="21" spans="1:17" x14ac:dyDescent="0.3">
      <c r="A21">
        <v>1099</v>
      </c>
      <c r="B21" s="1">
        <v>44989</v>
      </c>
      <c r="C21" t="s">
        <v>46</v>
      </c>
      <c r="D21" t="s">
        <v>24</v>
      </c>
      <c r="E21">
        <v>10</v>
      </c>
      <c r="F21" t="s">
        <v>30</v>
      </c>
      <c r="G21" s="2">
        <v>7952.11</v>
      </c>
      <c r="H21" s="2">
        <v>1531.2</v>
      </c>
      <c r="I21" s="2">
        <v>1955.56</v>
      </c>
      <c r="J21" s="2">
        <v>4243.6000000000004</v>
      </c>
      <c r="K21" s="2">
        <v>0</v>
      </c>
      <c r="L21" s="2">
        <f t="shared" si="0"/>
        <v>19555.599999999999</v>
      </c>
      <c r="M21" t="s">
        <v>26</v>
      </c>
      <c r="N21" t="s">
        <v>27</v>
      </c>
      <c r="O21" t="s">
        <v>42</v>
      </c>
      <c r="P21" t="s">
        <v>22</v>
      </c>
      <c r="Q21" t="s">
        <v>47</v>
      </c>
    </row>
    <row r="22" spans="1:17" x14ac:dyDescent="0.3">
      <c r="A22">
        <v>1040</v>
      </c>
      <c r="B22" s="1">
        <v>44995</v>
      </c>
      <c r="C22" t="s">
        <v>44</v>
      </c>
      <c r="D22" t="s">
        <v>24</v>
      </c>
      <c r="E22">
        <v>13</v>
      </c>
      <c r="F22" t="s">
        <v>18</v>
      </c>
      <c r="G22" s="2">
        <v>2331.27</v>
      </c>
      <c r="H22" s="2">
        <v>2750.18</v>
      </c>
      <c r="I22" s="2">
        <v>2882.85</v>
      </c>
      <c r="J22" s="2">
        <v>1724.71</v>
      </c>
      <c r="K22" s="2">
        <v>0.24</v>
      </c>
      <c r="L22" s="2">
        <f t="shared" si="0"/>
        <v>37477.049999999996</v>
      </c>
      <c r="M22" t="s">
        <v>26</v>
      </c>
      <c r="N22" t="s">
        <v>20</v>
      </c>
      <c r="O22" t="s">
        <v>42</v>
      </c>
      <c r="P22" t="s">
        <v>22</v>
      </c>
      <c r="Q22" t="s">
        <v>52</v>
      </c>
    </row>
    <row r="23" spans="1:17" x14ac:dyDescent="0.3">
      <c r="A23">
        <v>1038</v>
      </c>
      <c r="B23" s="1">
        <v>44996</v>
      </c>
      <c r="C23" t="s">
        <v>33</v>
      </c>
      <c r="D23" t="s">
        <v>29</v>
      </c>
      <c r="E23">
        <v>15</v>
      </c>
      <c r="F23" t="s">
        <v>18</v>
      </c>
      <c r="G23" s="2">
        <v>1452.35</v>
      </c>
      <c r="H23" s="2">
        <v>2543.36</v>
      </c>
      <c r="I23" s="2">
        <v>2790.1</v>
      </c>
      <c r="J23" s="2">
        <v>3701.1</v>
      </c>
      <c r="K23" s="2">
        <v>7.0000000000000007E-2</v>
      </c>
      <c r="L23" s="2">
        <f t="shared" si="0"/>
        <v>41851.5</v>
      </c>
      <c r="M23" t="s">
        <v>26</v>
      </c>
      <c r="N23" t="s">
        <v>20</v>
      </c>
      <c r="O23" t="s">
        <v>21</v>
      </c>
      <c r="P23" t="s">
        <v>22</v>
      </c>
      <c r="Q23" t="s">
        <v>53</v>
      </c>
    </row>
    <row r="24" spans="1:17" x14ac:dyDescent="0.3">
      <c r="A24">
        <v>1061</v>
      </c>
      <c r="B24" s="1">
        <v>45009</v>
      </c>
      <c r="C24" t="s">
        <v>44</v>
      </c>
      <c r="D24" t="s">
        <v>24</v>
      </c>
      <c r="E24">
        <v>13</v>
      </c>
      <c r="F24" t="s">
        <v>25</v>
      </c>
      <c r="G24" s="2">
        <v>3750.2</v>
      </c>
      <c r="H24" s="2">
        <v>637.37</v>
      </c>
      <c r="I24" s="2">
        <v>692.71</v>
      </c>
      <c r="J24" s="2">
        <v>719.42</v>
      </c>
      <c r="K24" s="2">
        <v>0.08</v>
      </c>
      <c r="L24" s="2">
        <f t="shared" si="0"/>
        <v>9005.23</v>
      </c>
      <c r="M24" t="s">
        <v>26</v>
      </c>
      <c r="N24" t="s">
        <v>27</v>
      </c>
      <c r="O24" t="s">
        <v>42</v>
      </c>
      <c r="P24" t="s">
        <v>22</v>
      </c>
      <c r="Q24" t="s">
        <v>52</v>
      </c>
    </row>
    <row r="25" spans="1:17" x14ac:dyDescent="0.3">
      <c r="A25">
        <v>1074</v>
      </c>
      <c r="B25" s="1">
        <v>45010</v>
      </c>
      <c r="C25" t="s">
        <v>16</v>
      </c>
      <c r="D25" t="s">
        <v>34</v>
      </c>
      <c r="E25">
        <v>38</v>
      </c>
      <c r="F25" t="s">
        <v>35</v>
      </c>
      <c r="G25" s="2">
        <v>7499.7</v>
      </c>
      <c r="H25" s="2">
        <v>2610.6</v>
      </c>
      <c r="I25" s="2">
        <v>2836.94</v>
      </c>
      <c r="J25" s="2">
        <v>8600.92</v>
      </c>
      <c r="K25" s="2">
        <v>0.19</v>
      </c>
      <c r="L25" s="2">
        <f t="shared" si="0"/>
        <v>107803.72</v>
      </c>
      <c r="M25" t="s">
        <v>19</v>
      </c>
      <c r="N25" t="s">
        <v>20</v>
      </c>
      <c r="O25" t="s">
        <v>42</v>
      </c>
      <c r="P25" t="s">
        <v>22</v>
      </c>
      <c r="Q25" t="s">
        <v>51</v>
      </c>
    </row>
    <row r="26" spans="1:17" x14ac:dyDescent="0.3">
      <c r="A26">
        <v>1005</v>
      </c>
      <c r="B26" s="1">
        <v>45015</v>
      </c>
      <c r="C26" t="s">
        <v>39</v>
      </c>
      <c r="D26" t="s">
        <v>24</v>
      </c>
      <c r="E26">
        <v>12</v>
      </c>
      <c r="F26" t="s">
        <v>25</v>
      </c>
      <c r="G26" s="2">
        <v>6828.24</v>
      </c>
      <c r="H26" s="2">
        <v>319.83</v>
      </c>
      <c r="I26" s="2">
        <v>802.43</v>
      </c>
      <c r="J26" s="2">
        <v>5791.2</v>
      </c>
      <c r="K26" s="2">
        <v>0.04</v>
      </c>
      <c r="L26" s="2">
        <f t="shared" si="0"/>
        <v>9629.16</v>
      </c>
      <c r="M26" t="s">
        <v>19</v>
      </c>
      <c r="N26" t="s">
        <v>27</v>
      </c>
      <c r="O26" t="s">
        <v>42</v>
      </c>
      <c r="P26" t="s">
        <v>36</v>
      </c>
      <c r="Q26" t="s">
        <v>40</v>
      </c>
    </row>
    <row r="27" spans="1:17" x14ac:dyDescent="0.3">
      <c r="A27">
        <v>1016</v>
      </c>
      <c r="B27" s="1">
        <v>45016</v>
      </c>
      <c r="C27" t="s">
        <v>16</v>
      </c>
      <c r="D27" t="s">
        <v>24</v>
      </c>
      <c r="E27">
        <v>38</v>
      </c>
      <c r="F27" t="s">
        <v>25</v>
      </c>
      <c r="G27" s="2">
        <v>4309.76</v>
      </c>
      <c r="H27" s="2">
        <v>3883.38</v>
      </c>
      <c r="I27" s="2">
        <v>4152.72</v>
      </c>
      <c r="J27" s="2">
        <v>10234.92</v>
      </c>
      <c r="K27" s="2">
        <v>0.26</v>
      </c>
      <c r="L27" s="2">
        <f t="shared" si="0"/>
        <v>157803.36000000002</v>
      </c>
      <c r="M27" t="s">
        <v>19</v>
      </c>
      <c r="N27" t="s">
        <v>20</v>
      </c>
      <c r="O27" t="s">
        <v>21</v>
      </c>
      <c r="P27" t="s">
        <v>22</v>
      </c>
      <c r="Q27" t="s">
        <v>28</v>
      </c>
    </row>
    <row r="28" spans="1:17" x14ac:dyDescent="0.3">
      <c r="A28">
        <v>1058</v>
      </c>
      <c r="B28" s="1">
        <v>45021</v>
      </c>
      <c r="C28" t="s">
        <v>39</v>
      </c>
      <c r="D28" t="s">
        <v>17</v>
      </c>
      <c r="E28">
        <v>33</v>
      </c>
      <c r="F28" t="s">
        <v>30</v>
      </c>
      <c r="G28" s="2">
        <v>2072.23</v>
      </c>
      <c r="H28" s="2">
        <v>1011.65</v>
      </c>
      <c r="I28" s="2">
        <v>1084.28</v>
      </c>
      <c r="J28" s="2">
        <v>2396.79</v>
      </c>
      <c r="K28" s="2">
        <v>7.0000000000000007E-2</v>
      </c>
      <c r="L28" s="2">
        <f t="shared" si="0"/>
        <v>35781.24</v>
      </c>
      <c r="M28" t="s">
        <v>26</v>
      </c>
      <c r="N28" t="s">
        <v>20</v>
      </c>
      <c r="O28" t="s">
        <v>31</v>
      </c>
      <c r="P28" t="s">
        <v>36</v>
      </c>
      <c r="Q28" t="s">
        <v>41</v>
      </c>
    </row>
    <row r="29" spans="1:17" x14ac:dyDescent="0.3">
      <c r="A29">
        <v>1083</v>
      </c>
      <c r="B29" s="1">
        <v>45027</v>
      </c>
      <c r="C29" t="s">
        <v>33</v>
      </c>
      <c r="D29" t="s">
        <v>34</v>
      </c>
      <c r="E29">
        <v>29</v>
      </c>
      <c r="F29" t="s">
        <v>30</v>
      </c>
      <c r="G29" s="2">
        <v>618.30999999999995</v>
      </c>
      <c r="H29" s="2">
        <v>2408.81</v>
      </c>
      <c r="I29" s="2">
        <v>2624.09</v>
      </c>
      <c r="J29" s="2">
        <v>6243.12</v>
      </c>
      <c r="K29" s="2">
        <v>0.14000000000000001</v>
      </c>
      <c r="L29" s="2">
        <f t="shared" si="0"/>
        <v>76098.61</v>
      </c>
      <c r="M29" t="s">
        <v>19</v>
      </c>
      <c r="N29" t="s">
        <v>20</v>
      </c>
      <c r="O29" t="s">
        <v>21</v>
      </c>
      <c r="P29" t="s">
        <v>22</v>
      </c>
      <c r="Q29" t="s">
        <v>37</v>
      </c>
    </row>
    <row r="30" spans="1:17" x14ac:dyDescent="0.3">
      <c r="A30">
        <v>1093</v>
      </c>
      <c r="B30" s="1">
        <v>45037</v>
      </c>
      <c r="C30" t="s">
        <v>33</v>
      </c>
      <c r="D30" t="s">
        <v>34</v>
      </c>
      <c r="E30">
        <v>17</v>
      </c>
      <c r="F30" t="s">
        <v>30</v>
      </c>
      <c r="G30" s="2">
        <v>4384.0200000000004</v>
      </c>
      <c r="H30" s="2">
        <v>3816.39</v>
      </c>
      <c r="I30" s="2">
        <v>4209.4399999999996</v>
      </c>
      <c r="J30" s="2">
        <v>6681.85</v>
      </c>
      <c r="K30" s="2">
        <v>0.11</v>
      </c>
      <c r="L30" s="2">
        <f t="shared" si="0"/>
        <v>71560.479999999996</v>
      </c>
      <c r="M30" t="s">
        <v>19</v>
      </c>
      <c r="N30" t="s">
        <v>20</v>
      </c>
      <c r="O30" t="s">
        <v>21</v>
      </c>
      <c r="P30" t="s">
        <v>36</v>
      </c>
      <c r="Q30" t="s">
        <v>37</v>
      </c>
    </row>
    <row r="31" spans="1:17" x14ac:dyDescent="0.3">
      <c r="A31">
        <v>1009</v>
      </c>
      <c r="B31" s="1">
        <v>45044</v>
      </c>
      <c r="C31" t="s">
        <v>39</v>
      </c>
      <c r="D31" t="s">
        <v>17</v>
      </c>
      <c r="E31">
        <v>33</v>
      </c>
      <c r="F31" t="s">
        <v>18</v>
      </c>
      <c r="G31" s="2">
        <v>1342.95</v>
      </c>
      <c r="H31" s="2">
        <v>2278.9</v>
      </c>
      <c r="I31" s="2">
        <v>2626.9</v>
      </c>
      <c r="J31" s="2">
        <v>11484</v>
      </c>
      <c r="K31" s="2">
        <v>0.05</v>
      </c>
      <c r="L31" s="2">
        <f t="shared" si="0"/>
        <v>86687.7</v>
      </c>
      <c r="M31" t="s">
        <v>19</v>
      </c>
      <c r="N31" t="s">
        <v>27</v>
      </c>
      <c r="O31" t="s">
        <v>42</v>
      </c>
      <c r="P31" t="s">
        <v>22</v>
      </c>
      <c r="Q31" t="s">
        <v>41</v>
      </c>
    </row>
    <row r="32" spans="1:17" x14ac:dyDescent="0.3">
      <c r="A32">
        <v>1056</v>
      </c>
      <c r="B32" s="1">
        <v>45053</v>
      </c>
      <c r="C32" t="s">
        <v>46</v>
      </c>
      <c r="D32" t="s">
        <v>24</v>
      </c>
      <c r="E32">
        <v>28</v>
      </c>
      <c r="F32" t="s">
        <v>18</v>
      </c>
      <c r="G32" s="2">
        <v>7611.88</v>
      </c>
      <c r="H32" s="2">
        <v>1566.03</v>
      </c>
      <c r="I32" s="2">
        <v>1576.34</v>
      </c>
      <c r="J32" s="2">
        <v>288.68</v>
      </c>
      <c r="K32" s="2">
        <v>0.2</v>
      </c>
      <c r="L32" s="2">
        <f t="shared" si="0"/>
        <v>44137.52</v>
      </c>
      <c r="M32" t="s">
        <v>26</v>
      </c>
      <c r="N32" t="s">
        <v>20</v>
      </c>
      <c r="O32" t="s">
        <v>31</v>
      </c>
      <c r="P32" t="s">
        <v>22</v>
      </c>
      <c r="Q32" t="s">
        <v>47</v>
      </c>
    </row>
    <row r="33" spans="1:17" x14ac:dyDescent="0.3">
      <c r="A33">
        <v>1034</v>
      </c>
      <c r="B33" s="1">
        <v>45056</v>
      </c>
      <c r="C33" t="s">
        <v>16</v>
      </c>
      <c r="D33" t="s">
        <v>24</v>
      </c>
      <c r="E33">
        <v>19</v>
      </c>
      <c r="F33" t="s">
        <v>18</v>
      </c>
      <c r="G33" s="2">
        <v>4892.3599999999997</v>
      </c>
      <c r="H33" s="2">
        <v>1922.21</v>
      </c>
      <c r="I33" s="2">
        <v>2180.83</v>
      </c>
      <c r="J33" s="2">
        <v>4913.78</v>
      </c>
      <c r="K33" s="2">
        <v>0.17</v>
      </c>
      <c r="L33" s="2">
        <f t="shared" si="0"/>
        <v>41435.769999999997</v>
      </c>
      <c r="M33" t="s">
        <v>26</v>
      </c>
      <c r="N33" t="s">
        <v>20</v>
      </c>
      <c r="O33" t="s">
        <v>42</v>
      </c>
      <c r="P33" t="s">
        <v>36</v>
      </c>
      <c r="Q33" t="s">
        <v>28</v>
      </c>
    </row>
    <row r="34" spans="1:17" x14ac:dyDescent="0.3">
      <c r="A34">
        <v>1049</v>
      </c>
      <c r="B34" s="1">
        <v>45063</v>
      </c>
      <c r="C34" t="s">
        <v>39</v>
      </c>
      <c r="D34" t="s">
        <v>34</v>
      </c>
      <c r="E34">
        <v>1</v>
      </c>
      <c r="F34" t="s">
        <v>30</v>
      </c>
      <c r="G34" s="2">
        <v>3741.08</v>
      </c>
      <c r="H34" s="2">
        <v>3290.89</v>
      </c>
      <c r="I34" s="2">
        <v>3317.75</v>
      </c>
      <c r="J34" s="2">
        <v>26.86</v>
      </c>
      <c r="K34" s="2">
        <v>0.17</v>
      </c>
      <c r="L34" s="2">
        <f t="shared" si="0"/>
        <v>3317.75</v>
      </c>
      <c r="M34" t="s">
        <v>26</v>
      </c>
      <c r="N34" t="s">
        <v>20</v>
      </c>
      <c r="O34" t="s">
        <v>31</v>
      </c>
      <c r="P34" t="s">
        <v>22</v>
      </c>
      <c r="Q34" t="s">
        <v>43</v>
      </c>
    </row>
    <row r="35" spans="1:17" x14ac:dyDescent="0.3">
      <c r="A35">
        <v>1063</v>
      </c>
      <c r="B35" s="1">
        <v>45064</v>
      </c>
      <c r="C35" t="s">
        <v>33</v>
      </c>
      <c r="D35" t="s">
        <v>34</v>
      </c>
      <c r="E35">
        <v>39</v>
      </c>
      <c r="F35" t="s">
        <v>35</v>
      </c>
      <c r="G35" s="2">
        <v>3098.87</v>
      </c>
      <c r="H35" s="2">
        <v>3577.69</v>
      </c>
      <c r="I35" s="2">
        <v>3931.25</v>
      </c>
      <c r="J35" s="2">
        <v>13788.84</v>
      </c>
      <c r="K35" s="2">
        <v>0.21</v>
      </c>
      <c r="L35" s="2">
        <f t="shared" si="0"/>
        <v>153318.75</v>
      </c>
      <c r="M35" t="s">
        <v>19</v>
      </c>
      <c r="N35" t="s">
        <v>20</v>
      </c>
      <c r="O35" t="s">
        <v>21</v>
      </c>
      <c r="P35" t="s">
        <v>36</v>
      </c>
      <c r="Q35" t="s">
        <v>37</v>
      </c>
    </row>
    <row r="36" spans="1:17" x14ac:dyDescent="0.3">
      <c r="A36">
        <v>1050</v>
      </c>
      <c r="B36" s="1">
        <v>45065</v>
      </c>
      <c r="C36" t="s">
        <v>44</v>
      </c>
      <c r="D36" t="s">
        <v>24</v>
      </c>
      <c r="E36">
        <v>35</v>
      </c>
      <c r="F36" t="s">
        <v>18</v>
      </c>
      <c r="G36" s="2">
        <v>9744.52</v>
      </c>
      <c r="H36" s="2">
        <v>2158.69</v>
      </c>
      <c r="I36" s="2">
        <v>2384.38</v>
      </c>
      <c r="J36" s="2">
        <v>7899.15</v>
      </c>
      <c r="K36" s="2">
        <v>0.09</v>
      </c>
      <c r="L36" s="2">
        <f t="shared" si="0"/>
        <v>83453.3</v>
      </c>
      <c r="M36" t="s">
        <v>19</v>
      </c>
      <c r="N36" t="s">
        <v>20</v>
      </c>
      <c r="O36" t="s">
        <v>31</v>
      </c>
      <c r="P36" t="s">
        <v>36</v>
      </c>
      <c r="Q36" t="s">
        <v>52</v>
      </c>
    </row>
    <row r="37" spans="1:17" x14ac:dyDescent="0.3">
      <c r="A37">
        <v>1071</v>
      </c>
      <c r="B37" s="1">
        <v>45066</v>
      </c>
      <c r="C37" t="s">
        <v>16</v>
      </c>
      <c r="D37" t="s">
        <v>34</v>
      </c>
      <c r="E37">
        <v>6</v>
      </c>
      <c r="F37" t="s">
        <v>30</v>
      </c>
      <c r="G37" s="2">
        <v>3003.76</v>
      </c>
      <c r="H37" s="2">
        <v>2831.23</v>
      </c>
      <c r="I37" s="2">
        <v>3206.98</v>
      </c>
      <c r="J37" s="2">
        <v>2254.5</v>
      </c>
      <c r="K37" s="2">
        <v>0.06</v>
      </c>
      <c r="L37" s="2">
        <f t="shared" si="0"/>
        <v>19241.88</v>
      </c>
      <c r="M37" t="s">
        <v>26</v>
      </c>
      <c r="N37" t="s">
        <v>20</v>
      </c>
      <c r="O37" t="s">
        <v>31</v>
      </c>
      <c r="P37" t="s">
        <v>36</v>
      </c>
      <c r="Q37" t="s">
        <v>51</v>
      </c>
    </row>
    <row r="38" spans="1:17" x14ac:dyDescent="0.3">
      <c r="A38">
        <v>1035</v>
      </c>
      <c r="B38" s="1">
        <v>45068</v>
      </c>
      <c r="C38" t="s">
        <v>39</v>
      </c>
      <c r="D38" t="s">
        <v>29</v>
      </c>
      <c r="E38">
        <v>45</v>
      </c>
      <c r="F38" t="s">
        <v>35</v>
      </c>
      <c r="G38" s="2">
        <v>3780.22</v>
      </c>
      <c r="H38" s="2">
        <v>4132.79</v>
      </c>
      <c r="I38" s="2">
        <v>4624.1000000000004</v>
      </c>
      <c r="J38" s="2">
        <v>22108.95</v>
      </c>
      <c r="K38" s="2">
        <v>0.15</v>
      </c>
      <c r="L38" s="2">
        <f t="shared" si="0"/>
        <v>208084.50000000003</v>
      </c>
      <c r="M38" t="s">
        <v>19</v>
      </c>
      <c r="N38" t="s">
        <v>27</v>
      </c>
      <c r="O38" t="s">
        <v>42</v>
      </c>
      <c r="P38" t="s">
        <v>36</v>
      </c>
      <c r="Q38" t="s">
        <v>54</v>
      </c>
    </row>
    <row r="39" spans="1:17" x14ac:dyDescent="0.3">
      <c r="A39">
        <v>1002</v>
      </c>
      <c r="B39" s="1">
        <v>45076</v>
      </c>
      <c r="C39" t="s">
        <v>46</v>
      </c>
      <c r="D39" t="s">
        <v>17</v>
      </c>
      <c r="E39">
        <v>17</v>
      </c>
      <c r="F39" t="s">
        <v>30</v>
      </c>
      <c r="G39" s="2">
        <v>6810.35</v>
      </c>
      <c r="H39" s="2">
        <v>4024.76</v>
      </c>
      <c r="I39" s="2">
        <v>4420.1499999999996</v>
      </c>
      <c r="J39" s="2">
        <v>6721.63</v>
      </c>
      <c r="K39" s="2">
        <v>0.04</v>
      </c>
      <c r="L39" s="2">
        <f t="shared" si="0"/>
        <v>75142.549999999988</v>
      </c>
      <c r="M39" t="s">
        <v>19</v>
      </c>
      <c r="N39" t="s">
        <v>20</v>
      </c>
      <c r="O39" t="s">
        <v>21</v>
      </c>
      <c r="P39" t="s">
        <v>22</v>
      </c>
      <c r="Q39" t="s">
        <v>55</v>
      </c>
    </row>
    <row r="40" spans="1:17" x14ac:dyDescent="0.3">
      <c r="A40">
        <v>1086</v>
      </c>
      <c r="B40" s="1">
        <v>45079</v>
      </c>
      <c r="C40" t="s">
        <v>33</v>
      </c>
      <c r="D40" t="s">
        <v>24</v>
      </c>
      <c r="E40">
        <v>3</v>
      </c>
      <c r="F40" t="s">
        <v>25</v>
      </c>
      <c r="G40" s="2">
        <v>2495.5700000000002</v>
      </c>
      <c r="H40" s="2">
        <v>1595.35</v>
      </c>
      <c r="I40" s="2">
        <v>1625.71</v>
      </c>
      <c r="J40" s="2">
        <v>91.08</v>
      </c>
      <c r="K40" s="2">
        <v>0.27</v>
      </c>
      <c r="L40" s="2">
        <f t="shared" si="0"/>
        <v>4877.13</v>
      </c>
      <c r="M40" t="s">
        <v>26</v>
      </c>
      <c r="N40" t="s">
        <v>27</v>
      </c>
      <c r="O40" t="s">
        <v>21</v>
      </c>
      <c r="P40" t="s">
        <v>22</v>
      </c>
      <c r="Q40" t="s">
        <v>56</v>
      </c>
    </row>
    <row r="41" spans="1:17" x14ac:dyDescent="0.3">
      <c r="A41">
        <v>1069</v>
      </c>
      <c r="B41" s="1">
        <v>45080</v>
      </c>
      <c r="C41" t="s">
        <v>46</v>
      </c>
      <c r="D41" t="s">
        <v>34</v>
      </c>
      <c r="E41">
        <v>42</v>
      </c>
      <c r="F41" t="s">
        <v>18</v>
      </c>
      <c r="G41" s="2">
        <v>6581.04</v>
      </c>
      <c r="H41" s="2">
        <v>1434.2</v>
      </c>
      <c r="I41" s="2">
        <v>1482.88</v>
      </c>
      <c r="J41" s="2">
        <v>2044.56</v>
      </c>
      <c r="K41" s="2">
        <v>0.28000000000000003</v>
      </c>
      <c r="L41" s="2">
        <f t="shared" si="0"/>
        <v>62280.960000000006</v>
      </c>
      <c r="M41" t="s">
        <v>26</v>
      </c>
      <c r="N41" t="s">
        <v>27</v>
      </c>
      <c r="O41" t="s">
        <v>42</v>
      </c>
      <c r="P41" t="s">
        <v>36</v>
      </c>
      <c r="Q41" t="s">
        <v>48</v>
      </c>
    </row>
    <row r="42" spans="1:17" x14ac:dyDescent="0.3">
      <c r="A42">
        <v>1079</v>
      </c>
      <c r="B42" s="1">
        <v>45083</v>
      </c>
      <c r="C42" t="s">
        <v>46</v>
      </c>
      <c r="D42" t="s">
        <v>29</v>
      </c>
      <c r="E42">
        <v>34</v>
      </c>
      <c r="F42" t="s">
        <v>30</v>
      </c>
      <c r="G42" s="2">
        <v>1982.07</v>
      </c>
      <c r="H42" s="2">
        <v>1967.96</v>
      </c>
      <c r="I42" s="2">
        <v>1993.4</v>
      </c>
      <c r="J42" s="2">
        <v>864.96</v>
      </c>
      <c r="K42" s="2">
        <v>0.15</v>
      </c>
      <c r="L42" s="2">
        <f t="shared" si="0"/>
        <v>67775.600000000006</v>
      </c>
      <c r="M42" t="s">
        <v>26</v>
      </c>
      <c r="N42" t="s">
        <v>20</v>
      </c>
      <c r="O42" t="s">
        <v>42</v>
      </c>
      <c r="P42" t="s">
        <v>22</v>
      </c>
      <c r="Q42" t="s">
        <v>50</v>
      </c>
    </row>
    <row r="43" spans="1:17" x14ac:dyDescent="0.3">
      <c r="A43">
        <v>1032</v>
      </c>
      <c r="B43" s="1">
        <v>45085</v>
      </c>
      <c r="C43" t="s">
        <v>16</v>
      </c>
      <c r="D43" t="s">
        <v>34</v>
      </c>
      <c r="E43">
        <v>49</v>
      </c>
      <c r="F43" t="s">
        <v>25</v>
      </c>
      <c r="G43" s="2">
        <v>219.82</v>
      </c>
      <c r="H43" s="2">
        <v>4812.41</v>
      </c>
      <c r="I43" s="2">
        <v>5088</v>
      </c>
      <c r="J43" s="2">
        <v>13503.91</v>
      </c>
      <c r="K43" s="2">
        <v>0.09</v>
      </c>
      <c r="L43" s="2">
        <f t="shared" si="0"/>
        <v>249312</v>
      </c>
      <c r="M43" t="s">
        <v>19</v>
      </c>
      <c r="N43" t="s">
        <v>20</v>
      </c>
      <c r="O43" t="s">
        <v>42</v>
      </c>
      <c r="P43" t="s">
        <v>22</v>
      </c>
      <c r="Q43" t="s">
        <v>51</v>
      </c>
    </row>
    <row r="44" spans="1:17" x14ac:dyDescent="0.3">
      <c r="A44">
        <v>1054</v>
      </c>
      <c r="B44" s="1">
        <v>45087</v>
      </c>
      <c r="C44" t="s">
        <v>33</v>
      </c>
      <c r="D44" t="s">
        <v>29</v>
      </c>
      <c r="E44">
        <v>21</v>
      </c>
      <c r="F44" t="s">
        <v>30</v>
      </c>
      <c r="G44" s="2">
        <v>7853.66</v>
      </c>
      <c r="H44" s="2">
        <v>4668.1400000000003</v>
      </c>
      <c r="I44" s="2">
        <v>5040.22</v>
      </c>
      <c r="J44" s="2">
        <v>7813.68</v>
      </c>
      <c r="K44" s="2">
        <v>0.05</v>
      </c>
      <c r="L44" s="2">
        <f t="shared" si="0"/>
        <v>105844.62000000001</v>
      </c>
      <c r="M44" t="s">
        <v>19</v>
      </c>
      <c r="N44" t="s">
        <v>27</v>
      </c>
      <c r="O44" t="s">
        <v>31</v>
      </c>
      <c r="P44" t="s">
        <v>22</v>
      </c>
      <c r="Q44" t="s">
        <v>53</v>
      </c>
    </row>
    <row r="45" spans="1:17" x14ac:dyDescent="0.3">
      <c r="A45">
        <v>1011</v>
      </c>
      <c r="B45" s="1">
        <v>45091</v>
      </c>
      <c r="C45" t="s">
        <v>39</v>
      </c>
      <c r="D45" t="s">
        <v>29</v>
      </c>
      <c r="E45">
        <v>38</v>
      </c>
      <c r="F45" t="s">
        <v>30</v>
      </c>
      <c r="G45" s="2">
        <v>4531.97</v>
      </c>
      <c r="H45" s="2">
        <v>4456.67</v>
      </c>
      <c r="I45" s="2">
        <v>4642.46</v>
      </c>
      <c r="J45" s="2">
        <v>7060.02</v>
      </c>
      <c r="K45" s="2">
        <v>0.06</v>
      </c>
      <c r="L45" s="2">
        <f t="shared" si="0"/>
        <v>176413.48</v>
      </c>
      <c r="M45" t="s">
        <v>19</v>
      </c>
      <c r="N45" t="s">
        <v>27</v>
      </c>
      <c r="O45" t="s">
        <v>31</v>
      </c>
      <c r="P45" t="s">
        <v>22</v>
      </c>
      <c r="Q45" t="s">
        <v>54</v>
      </c>
    </row>
    <row r="46" spans="1:17" x14ac:dyDescent="0.3">
      <c r="A46">
        <v>1004</v>
      </c>
      <c r="B46" s="1">
        <v>45099</v>
      </c>
      <c r="C46" t="s">
        <v>16</v>
      </c>
      <c r="D46" t="s">
        <v>29</v>
      </c>
      <c r="E46">
        <v>39</v>
      </c>
      <c r="F46" t="s">
        <v>25</v>
      </c>
      <c r="G46" s="2">
        <v>7762.51</v>
      </c>
      <c r="H46" s="2">
        <v>2416.89</v>
      </c>
      <c r="I46" s="2">
        <v>2778.4</v>
      </c>
      <c r="J46" s="2">
        <v>14098.89</v>
      </c>
      <c r="K46" s="2">
        <v>0.05</v>
      </c>
      <c r="L46" s="2">
        <f t="shared" si="0"/>
        <v>108357.6</v>
      </c>
      <c r="M46" t="s">
        <v>19</v>
      </c>
      <c r="N46" t="s">
        <v>20</v>
      </c>
      <c r="O46" t="s">
        <v>21</v>
      </c>
      <c r="P46" t="s">
        <v>22</v>
      </c>
      <c r="Q46" t="s">
        <v>32</v>
      </c>
    </row>
    <row r="47" spans="1:17" x14ac:dyDescent="0.3">
      <c r="A47">
        <v>1023</v>
      </c>
      <c r="B47" s="1">
        <v>45105</v>
      </c>
      <c r="C47" t="s">
        <v>16</v>
      </c>
      <c r="D47" t="s">
        <v>24</v>
      </c>
      <c r="E47">
        <v>9</v>
      </c>
      <c r="F47" t="s">
        <v>18</v>
      </c>
      <c r="G47" s="2">
        <v>2170.94</v>
      </c>
      <c r="H47" s="2">
        <v>4155.46</v>
      </c>
      <c r="I47" s="2">
        <v>4273.6000000000004</v>
      </c>
      <c r="J47" s="2">
        <v>1063.26</v>
      </c>
      <c r="K47" s="2">
        <v>0.25</v>
      </c>
      <c r="L47" s="2">
        <f t="shared" si="0"/>
        <v>38462.400000000001</v>
      </c>
      <c r="M47" t="s">
        <v>26</v>
      </c>
      <c r="N47" t="s">
        <v>20</v>
      </c>
      <c r="O47" t="s">
        <v>21</v>
      </c>
      <c r="P47" t="s">
        <v>36</v>
      </c>
      <c r="Q47" t="s">
        <v>28</v>
      </c>
    </row>
    <row r="48" spans="1:17" x14ac:dyDescent="0.3">
      <c r="A48">
        <v>1075</v>
      </c>
      <c r="B48" s="1">
        <v>45106</v>
      </c>
      <c r="C48" t="s">
        <v>46</v>
      </c>
      <c r="D48" t="s">
        <v>29</v>
      </c>
      <c r="E48">
        <v>30</v>
      </c>
      <c r="F48" t="s">
        <v>30</v>
      </c>
      <c r="G48" s="2">
        <v>4223.3900000000003</v>
      </c>
      <c r="H48" s="2">
        <v>738.06</v>
      </c>
      <c r="I48" s="2">
        <v>1095.45</v>
      </c>
      <c r="J48" s="2">
        <v>10721.7</v>
      </c>
      <c r="K48" s="2">
        <v>0.05</v>
      </c>
      <c r="L48" s="2">
        <f t="shared" si="0"/>
        <v>32863.5</v>
      </c>
      <c r="M48" t="s">
        <v>19</v>
      </c>
      <c r="N48" t="s">
        <v>27</v>
      </c>
      <c r="O48" t="s">
        <v>31</v>
      </c>
      <c r="P48" t="s">
        <v>22</v>
      </c>
      <c r="Q48" t="s">
        <v>50</v>
      </c>
    </row>
    <row r="49" spans="1:17" x14ac:dyDescent="0.3">
      <c r="A49">
        <v>1066</v>
      </c>
      <c r="B49" s="1">
        <v>45110</v>
      </c>
      <c r="C49" t="s">
        <v>44</v>
      </c>
      <c r="D49" t="s">
        <v>17</v>
      </c>
      <c r="E49">
        <v>15</v>
      </c>
      <c r="F49" t="s">
        <v>30</v>
      </c>
      <c r="G49" s="2">
        <v>6380.2</v>
      </c>
      <c r="H49" s="2">
        <v>2579.31</v>
      </c>
      <c r="I49" s="2">
        <v>2867.36</v>
      </c>
      <c r="J49" s="2">
        <v>4320.75</v>
      </c>
      <c r="K49" s="2">
        <v>0.04</v>
      </c>
      <c r="L49" s="2">
        <f t="shared" si="0"/>
        <v>43010.400000000001</v>
      </c>
      <c r="M49" t="s">
        <v>26</v>
      </c>
      <c r="N49" t="s">
        <v>20</v>
      </c>
      <c r="O49" t="s">
        <v>31</v>
      </c>
      <c r="P49" t="s">
        <v>36</v>
      </c>
      <c r="Q49" t="s">
        <v>57</v>
      </c>
    </row>
    <row r="50" spans="1:17" x14ac:dyDescent="0.3">
      <c r="A50">
        <v>1030</v>
      </c>
      <c r="B50" s="1">
        <v>45124</v>
      </c>
      <c r="C50" t="s">
        <v>46</v>
      </c>
      <c r="D50" t="s">
        <v>34</v>
      </c>
      <c r="E50">
        <v>19</v>
      </c>
      <c r="F50" t="s">
        <v>18</v>
      </c>
      <c r="G50" s="2">
        <v>3023.48</v>
      </c>
      <c r="H50" s="2">
        <v>3049.33</v>
      </c>
      <c r="I50" s="2">
        <v>3209.22</v>
      </c>
      <c r="J50" s="2">
        <v>3037.91</v>
      </c>
      <c r="K50" s="2">
        <v>0.26</v>
      </c>
      <c r="L50" s="2">
        <f t="shared" si="0"/>
        <v>60975.179999999993</v>
      </c>
      <c r="M50" t="s">
        <v>26</v>
      </c>
      <c r="N50" t="s">
        <v>20</v>
      </c>
      <c r="O50" t="s">
        <v>21</v>
      </c>
      <c r="P50" t="s">
        <v>22</v>
      </c>
      <c r="Q50" t="s">
        <v>48</v>
      </c>
    </row>
    <row r="51" spans="1:17" x14ac:dyDescent="0.3">
      <c r="A51">
        <v>1017</v>
      </c>
      <c r="B51" s="1">
        <v>45128</v>
      </c>
      <c r="C51" t="s">
        <v>46</v>
      </c>
      <c r="D51" t="s">
        <v>24</v>
      </c>
      <c r="E51">
        <v>1</v>
      </c>
      <c r="F51" t="s">
        <v>35</v>
      </c>
      <c r="G51" s="2">
        <v>3388.69</v>
      </c>
      <c r="H51" s="2">
        <v>172.59</v>
      </c>
      <c r="I51" s="2">
        <v>404.69</v>
      </c>
      <c r="J51" s="2">
        <v>232.1</v>
      </c>
      <c r="K51" s="2">
        <v>0.28999999999999998</v>
      </c>
      <c r="L51" s="2">
        <f t="shared" si="0"/>
        <v>404.69</v>
      </c>
      <c r="M51" t="s">
        <v>26</v>
      </c>
      <c r="N51" t="s">
        <v>20</v>
      </c>
      <c r="O51" t="s">
        <v>31</v>
      </c>
      <c r="P51" t="s">
        <v>22</v>
      </c>
      <c r="Q51" t="s">
        <v>47</v>
      </c>
    </row>
    <row r="52" spans="1:17" x14ac:dyDescent="0.3">
      <c r="A52">
        <v>1039</v>
      </c>
      <c r="B52" s="1">
        <v>45129</v>
      </c>
      <c r="C52" t="s">
        <v>39</v>
      </c>
      <c r="D52" t="s">
        <v>24</v>
      </c>
      <c r="E52">
        <v>42</v>
      </c>
      <c r="F52" t="s">
        <v>18</v>
      </c>
      <c r="G52" s="2">
        <v>6807.67</v>
      </c>
      <c r="H52" s="2">
        <v>3120.19</v>
      </c>
      <c r="I52" s="2">
        <v>3600.14</v>
      </c>
      <c r="J52" s="2">
        <v>20157.900000000001</v>
      </c>
      <c r="K52" s="2">
        <v>0.19</v>
      </c>
      <c r="L52" s="2">
        <f t="shared" si="0"/>
        <v>151205.88</v>
      </c>
      <c r="M52" t="s">
        <v>19</v>
      </c>
      <c r="N52" t="s">
        <v>20</v>
      </c>
      <c r="O52" t="s">
        <v>42</v>
      </c>
      <c r="P52" t="s">
        <v>36</v>
      </c>
      <c r="Q52" t="s">
        <v>40</v>
      </c>
    </row>
    <row r="53" spans="1:17" x14ac:dyDescent="0.3">
      <c r="A53">
        <v>1047</v>
      </c>
      <c r="B53" s="1">
        <v>45146</v>
      </c>
      <c r="C53" t="s">
        <v>46</v>
      </c>
      <c r="D53" t="s">
        <v>17</v>
      </c>
      <c r="E53">
        <v>33</v>
      </c>
      <c r="F53" t="s">
        <v>25</v>
      </c>
      <c r="G53" s="2">
        <v>1331.25</v>
      </c>
      <c r="H53" s="2">
        <v>1341.55</v>
      </c>
      <c r="I53" s="2">
        <v>1427.21</v>
      </c>
      <c r="J53" s="2">
        <v>2826.78</v>
      </c>
      <c r="K53" s="2">
        <v>0.15</v>
      </c>
      <c r="L53" s="2">
        <f t="shared" si="0"/>
        <v>47097.93</v>
      </c>
      <c r="M53" t="s">
        <v>26</v>
      </c>
      <c r="N53" t="s">
        <v>20</v>
      </c>
      <c r="O53" t="s">
        <v>42</v>
      </c>
      <c r="P53" t="s">
        <v>22</v>
      </c>
      <c r="Q53" t="s">
        <v>55</v>
      </c>
    </row>
    <row r="54" spans="1:17" x14ac:dyDescent="0.3">
      <c r="A54">
        <v>1084</v>
      </c>
      <c r="B54" s="1">
        <v>45151</v>
      </c>
      <c r="C54" t="s">
        <v>39</v>
      </c>
      <c r="D54" t="s">
        <v>34</v>
      </c>
      <c r="E54">
        <v>21</v>
      </c>
      <c r="F54" t="s">
        <v>30</v>
      </c>
      <c r="G54" s="2">
        <v>1290.05</v>
      </c>
      <c r="H54" s="2">
        <v>3497.98</v>
      </c>
      <c r="I54" s="2">
        <v>3765.31</v>
      </c>
      <c r="J54" s="2">
        <v>5613.93</v>
      </c>
      <c r="K54" s="2">
        <v>0.08</v>
      </c>
      <c r="L54" s="2">
        <f t="shared" si="0"/>
        <v>79071.509999999995</v>
      </c>
      <c r="M54" t="s">
        <v>19</v>
      </c>
      <c r="N54" t="s">
        <v>27</v>
      </c>
      <c r="O54" t="s">
        <v>21</v>
      </c>
      <c r="P54" t="s">
        <v>22</v>
      </c>
      <c r="Q54" t="s">
        <v>43</v>
      </c>
    </row>
    <row r="55" spans="1:17" x14ac:dyDescent="0.3">
      <c r="A55">
        <v>1100</v>
      </c>
      <c r="B55" s="1">
        <v>45152</v>
      </c>
      <c r="C55" t="s">
        <v>33</v>
      </c>
      <c r="D55" t="s">
        <v>34</v>
      </c>
      <c r="E55">
        <v>43</v>
      </c>
      <c r="F55" t="s">
        <v>35</v>
      </c>
      <c r="G55" s="2">
        <v>2198.7399999999998</v>
      </c>
      <c r="H55" s="2">
        <v>1100.81</v>
      </c>
      <c r="I55" s="2">
        <v>1137.44</v>
      </c>
      <c r="J55" s="2">
        <v>1575.09</v>
      </c>
      <c r="K55" s="2">
        <v>0.08</v>
      </c>
      <c r="L55" s="2">
        <f t="shared" si="0"/>
        <v>48909.920000000006</v>
      </c>
      <c r="M55" t="s">
        <v>26</v>
      </c>
      <c r="N55" t="s">
        <v>20</v>
      </c>
      <c r="O55" t="s">
        <v>31</v>
      </c>
      <c r="P55" t="s">
        <v>22</v>
      </c>
      <c r="Q55" t="s">
        <v>37</v>
      </c>
    </row>
    <row r="56" spans="1:17" x14ac:dyDescent="0.3">
      <c r="A56">
        <v>1022</v>
      </c>
      <c r="B56" s="1">
        <v>45155</v>
      </c>
      <c r="C56" t="s">
        <v>44</v>
      </c>
      <c r="D56" t="s">
        <v>29</v>
      </c>
      <c r="E56">
        <v>21</v>
      </c>
      <c r="F56" t="s">
        <v>35</v>
      </c>
      <c r="G56" s="2">
        <v>8813.5499999999993</v>
      </c>
      <c r="H56" s="2">
        <v>2537.1999999999998</v>
      </c>
      <c r="I56" s="2">
        <v>2869.6</v>
      </c>
      <c r="J56" s="2">
        <v>6980.4</v>
      </c>
      <c r="K56" s="2">
        <v>0.28999999999999998</v>
      </c>
      <c r="L56" s="2">
        <f t="shared" si="0"/>
        <v>60261.599999999999</v>
      </c>
      <c r="M56" t="s">
        <v>19</v>
      </c>
      <c r="N56" t="s">
        <v>27</v>
      </c>
      <c r="O56" t="s">
        <v>31</v>
      </c>
      <c r="P56" t="s">
        <v>36</v>
      </c>
      <c r="Q56" t="s">
        <v>45</v>
      </c>
    </row>
    <row r="57" spans="1:17" x14ac:dyDescent="0.3">
      <c r="A57">
        <v>1072</v>
      </c>
      <c r="B57" s="1">
        <v>45162</v>
      </c>
      <c r="C57" t="s">
        <v>33</v>
      </c>
      <c r="D57" t="s">
        <v>29</v>
      </c>
      <c r="E57">
        <v>39</v>
      </c>
      <c r="F57" t="s">
        <v>18</v>
      </c>
      <c r="G57" s="2">
        <v>2167.94</v>
      </c>
      <c r="H57" s="2">
        <v>4330.03</v>
      </c>
      <c r="I57" s="2">
        <v>4467.75</v>
      </c>
      <c r="J57" s="2">
        <v>5371.08</v>
      </c>
      <c r="K57" s="2">
        <v>0.02</v>
      </c>
      <c r="L57" s="2">
        <f t="shared" si="0"/>
        <v>174242.25</v>
      </c>
      <c r="M57" t="s">
        <v>19</v>
      </c>
      <c r="N57" t="s">
        <v>27</v>
      </c>
      <c r="O57" t="s">
        <v>42</v>
      </c>
      <c r="P57" t="s">
        <v>36</v>
      </c>
      <c r="Q57" t="s">
        <v>53</v>
      </c>
    </row>
    <row r="58" spans="1:17" x14ac:dyDescent="0.3">
      <c r="A58">
        <v>1059</v>
      </c>
      <c r="B58" s="1">
        <v>45169</v>
      </c>
      <c r="C58" t="s">
        <v>39</v>
      </c>
      <c r="D58" t="s">
        <v>17</v>
      </c>
      <c r="E58">
        <v>35</v>
      </c>
      <c r="F58" t="s">
        <v>35</v>
      </c>
      <c r="G58" s="2">
        <v>1203.97</v>
      </c>
      <c r="H58" s="2">
        <v>3333.64</v>
      </c>
      <c r="I58" s="2">
        <v>3764.52</v>
      </c>
      <c r="J58" s="2">
        <v>15080.8</v>
      </c>
      <c r="K58" s="2">
        <v>0.02</v>
      </c>
      <c r="L58" s="2">
        <f t="shared" si="0"/>
        <v>131758.20000000001</v>
      </c>
      <c r="M58" t="s">
        <v>19</v>
      </c>
      <c r="N58" t="s">
        <v>20</v>
      </c>
      <c r="O58" t="s">
        <v>42</v>
      </c>
      <c r="P58" t="s">
        <v>22</v>
      </c>
      <c r="Q58" t="s">
        <v>41</v>
      </c>
    </row>
    <row r="59" spans="1:17" x14ac:dyDescent="0.3">
      <c r="A59">
        <v>1091</v>
      </c>
      <c r="B59" s="1">
        <v>45173</v>
      </c>
      <c r="C59" t="s">
        <v>44</v>
      </c>
      <c r="D59" t="s">
        <v>29</v>
      </c>
      <c r="E59">
        <v>44</v>
      </c>
      <c r="F59" t="s">
        <v>35</v>
      </c>
      <c r="G59" s="2">
        <v>675.11</v>
      </c>
      <c r="H59" s="2">
        <v>2085.46</v>
      </c>
      <c r="I59" s="2">
        <v>2406.58</v>
      </c>
      <c r="J59" s="2">
        <v>14129.28</v>
      </c>
      <c r="K59" s="2">
        <v>0.06</v>
      </c>
      <c r="L59" s="2">
        <f t="shared" si="0"/>
        <v>105889.51999999999</v>
      </c>
      <c r="M59" t="s">
        <v>19</v>
      </c>
      <c r="N59" t="s">
        <v>20</v>
      </c>
      <c r="O59" t="s">
        <v>31</v>
      </c>
      <c r="P59" t="s">
        <v>36</v>
      </c>
      <c r="Q59" t="s">
        <v>45</v>
      </c>
    </row>
    <row r="60" spans="1:17" x14ac:dyDescent="0.3">
      <c r="A60">
        <v>1020</v>
      </c>
      <c r="B60" s="1">
        <v>45177</v>
      </c>
      <c r="C60" t="s">
        <v>16</v>
      </c>
      <c r="D60" t="s">
        <v>17</v>
      </c>
      <c r="E60">
        <v>26</v>
      </c>
      <c r="F60" t="s">
        <v>18</v>
      </c>
      <c r="G60" s="2">
        <v>9733.4699999999993</v>
      </c>
      <c r="H60" s="2">
        <v>4472.3500000000004</v>
      </c>
      <c r="I60" s="2">
        <v>4770.42</v>
      </c>
      <c r="J60" s="2">
        <v>7749.82</v>
      </c>
      <c r="K60" s="2">
        <v>0.01</v>
      </c>
      <c r="L60" s="2">
        <f t="shared" si="0"/>
        <v>124030.92</v>
      </c>
      <c r="M60" t="s">
        <v>19</v>
      </c>
      <c r="N60" t="s">
        <v>27</v>
      </c>
      <c r="O60" t="s">
        <v>42</v>
      </c>
      <c r="P60" t="s">
        <v>36</v>
      </c>
      <c r="Q60" t="s">
        <v>23</v>
      </c>
    </row>
    <row r="61" spans="1:17" x14ac:dyDescent="0.3">
      <c r="A61">
        <v>1096</v>
      </c>
      <c r="B61" s="1">
        <v>45180</v>
      </c>
      <c r="C61" t="s">
        <v>16</v>
      </c>
      <c r="D61" t="s">
        <v>29</v>
      </c>
      <c r="E61">
        <v>23</v>
      </c>
      <c r="F61" t="s">
        <v>25</v>
      </c>
      <c r="G61" s="2">
        <v>7597.37</v>
      </c>
      <c r="H61" s="2">
        <v>608.57000000000005</v>
      </c>
      <c r="I61" s="2">
        <v>1032.22</v>
      </c>
      <c r="J61" s="2">
        <v>9743.9500000000007</v>
      </c>
      <c r="K61" s="2">
        <v>0.25</v>
      </c>
      <c r="L61" s="2">
        <f t="shared" si="0"/>
        <v>23741.06</v>
      </c>
      <c r="M61" t="s">
        <v>19</v>
      </c>
      <c r="N61" t="s">
        <v>27</v>
      </c>
      <c r="O61" t="s">
        <v>21</v>
      </c>
      <c r="P61" t="s">
        <v>36</v>
      </c>
      <c r="Q61" t="s">
        <v>32</v>
      </c>
    </row>
    <row r="62" spans="1:17" x14ac:dyDescent="0.3">
      <c r="A62">
        <v>1006</v>
      </c>
      <c r="B62" s="1">
        <v>45185</v>
      </c>
      <c r="C62" t="s">
        <v>33</v>
      </c>
      <c r="D62" t="s">
        <v>17</v>
      </c>
      <c r="E62">
        <v>49</v>
      </c>
      <c r="F62" t="s">
        <v>35</v>
      </c>
      <c r="G62" s="2">
        <v>8995.75</v>
      </c>
      <c r="H62" s="2">
        <v>2843.76</v>
      </c>
      <c r="I62" s="2">
        <v>3146.6</v>
      </c>
      <c r="J62" s="2">
        <v>14839.16</v>
      </c>
      <c r="K62" s="2">
        <v>0.08</v>
      </c>
      <c r="L62" s="2">
        <f t="shared" si="0"/>
        <v>154183.4</v>
      </c>
      <c r="M62" t="s">
        <v>19</v>
      </c>
      <c r="N62" t="s">
        <v>27</v>
      </c>
      <c r="O62" t="s">
        <v>21</v>
      </c>
      <c r="P62" t="s">
        <v>36</v>
      </c>
      <c r="Q62" t="s">
        <v>38</v>
      </c>
    </row>
    <row r="63" spans="1:17" x14ac:dyDescent="0.3">
      <c r="A63">
        <v>1057</v>
      </c>
      <c r="B63" s="1">
        <v>45187</v>
      </c>
      <c r="C63" t="s">
        <v>44</v>
      </c>
      <c r="D63" t="s">
        <v>34</v>
      </c>
      <c r="E63">
        <v>25</v>
      </c>
      <c r="F63" t="s">
        <v>35</v>
      </c>
      <c r="G63" s="2">
        <v>7315.73</v>
      </c>
      <c r="H63" s="2">
        <v>1821.91</v>
      </c>
      <c r="I63" s="2">
        <v>2027.74</v>
      </c>
      <c r="J63" s="2">
        <v>5145.75</v>
      </c>
      <c r="K63" s="2">
        <v>0.02</v>
      </c>
      <c r="L63" s="2">
        <f t="shared" si="0"/>
        <v>50693.5</v>
      </c>
      <c r="M63" t="s">
        <v>19</v>
      </c>
      <c r="N63" t="s">
        <v>27</v>
      </c>
      <c r="O63" t="s">
        <v>31</v>
      </c>
      <c r="P63" t="s">
        <v>36</v>
      </c>
      <c r="Q63" t="s">
        <v>49</v>
      </c>
    </row>
    <row r="64" spans="1:17" x14ac:dyDescent="0.3">
      <c r="A64">
        <v>1015</v>
      </c>
      <c r="B64" s="1">
        <v>45190</v>
      </c>
      <c r="C64" t="s">
        <v>46</v>
      </c>
      <c r="D64" t="s">
        <v>29</v>
      </c>
      <c r="E64">
        <v>30</v>
      </c>
      <c r="F64" t="s">
        <v>35</v>
      </c>
      <c r="G64" s="2">
        <v>4631.2299999999996</v>
      </c>
      <c r="H64" s="2">
        <v>261.56</v>
      </c>
      <c r="I64" s="2">
        <v>371.4</v>
      </c>
      <c r="J64" s="2">
        <v>3295.2</v>
      </c>
      <c r="K64" s="2">
        <v>0.2</v>
      </c>
      <c r="L64" s="2">
        <f t="shared" si="0"/>
        <v>11142</v>
      </c>
      <c r="M64" t="s">
        <v>26</v>
      </c>
      <c r="N64" t="s">
        <v>20</v>
      </c>
      <c r="O64" t="s">
        <v>31</v>
      </c>
      <c r="P64" t="s">
        <v>36</v>
      </c>
      <c r="Q64" t="s">
        <v>50</v>
      </c>
    </row>
    <row r="65" spans="1:17" x14ac:dyDescent="0.3">
      <c r="A65">
        <v>1048</v>
      </c>
      <c r="B65" s="1">
        <v>45199</v>
      </c>
      <c r="C65" t="s">
        <v>44</v>
      </c>
      <c r="D65" t="s">
        <v>17</v>
      </c>
      <c r="E65">
        <v>4</v>
      </c>
      <c r="F65" t="s">
        <v>30</v>
      </c>
      <c r="G65" s="2">
        <v>7873.38</v>
      </c>
      <c r="H65" s="2">
        <v>2900.14</v>
      </c>
      <c r="I65" s="2">
        <v>2910.51</v>
      </c>
      <c r="J65" s="2">
        <v>41.48</v>
      </c>
      <c r="K65" s="2">
        <v>0.22</v>
      </c>
      <c r="L65" s="2">
        <f t="shared" si="0"/>
        <v>11642.04</v>
      </c>
      <c r="M65" t="s">
        <v>26</v>
      </c>
      <c r="N65" t="s">
        <v>27</v>
      </c>
      <c r="O65" t="s">
        <v>42</v>
      </c>
      <c r="P65" t="s">
        <v>36</v>
      </c>
      <c r="Q65" t="s">
        <v>57</v>
      </c>
    </row>
    <row r="66" spans="1:17" x14ac:dyDescent="0.3">
      <c r="A66">
        <v>1025</v>
      </c>
      <c r="B66" s="1">
        <v>45214</v>
      </c>
      <c r="C66" t="s">
        <v>46</v>
      </c>
      <c r="D66" t="s">
        <v>17</v>
      </c>
      <c r="E66">
        <v>44</v>
      </c>
      <c r="F66" t="s">
        <v>35</v>
      </c>
      <c r="G66" s="2">
        <v>3422.54</v>
      </c>
      <c r="H66" s="2">
        <v>1485.72</v>
      </c>
      <c r="I66" s="2">
        <v>1717.97</v>
      </c>
      <c r="J66" s="2">
        <v>10219</v>
      </c>
      <c r="K66" s="2">
        <v>0.02</v>
      </c>
      <c r="L66" s="2">
        <f t="shared" si="0"/>
        <v>75590.680000000008</v>
      </c>
      <c r="M66" t="s">
        <v>19</v>
      </c>
      <c r="N66" t="s">
        <v>27</v>
      </c>
      <c r="O66" t="s">
        <v>42</v>
      </c>
      <c r="P66" t="s">
        <v>36</v>
      </c>
      <c r="Q66" t="s">
        <v>55</v>
      </c>
    </row>
    <row r="67" spans="1:17" x14ac:dyDescent="0.3">
      <c r="A67">
        <v>1053</v>
      </c>
      <c r="B67" s="1">
        <v>45215</v>
      </c>
      <c r="C67" t="s">
        <v>33</v>
      </c>
      <c r="D67" t="s">
        <v>17</v>
      </c>
      <c r="E67">
        <v>48</v>
      </c>
      <c r="F67" t="s">
        <v>30</v>
      </c>
      <c r="G67" s="2">
        <v>2235.83</v>
      </c>
      <c r="H67" s="2">
        <v>121.19</v>
      </c>
      <c r="I67" s="2">
        <v>487.65</v>
      </c>
      <c r="J67" s="2">
        <v>17590.080000000002</v>
      </c>
      <c r="K67" s="2">
        <v>0.18</v>
      </c>
      <c r="L67" s="2">
        <f t="shared" si="0"/>
        <v>23407.199999999997</v>
      </c>
      <c r="M67" t="s">
        <v>19</v>
      </c>
      <c r="N67" t="s">
        <v>27</v>
      </c>
      <c r="O67" t="s">
        <v>21</v>
      </c>
      <c r="P67" t="s">
        <v>36</v>
      </c>
      <c r="Q67" t="s">
        <v>38</v>
      </c>
    </row>
    <row r="68" spans="1:17" x14ac:dyDescent="0.3">
      <c r="A68">
        <v>1098</v>
      </c>
      <c r="B68" s="1">
        <v>45217</v>
      </c>
      <c r="C68" t="s">
        <v>16</v>
      </c>
      <c r="D68" t="s">
        <v>34</v>
      </c>
      <c r="E68">
        <v>21</v>
      </c>
      <c r="F68" t="s">
        <v>30</v>
      </c>
      <c r="G68" s="2">
        <v>1600.79</v>
      </c>
      <c r="H68" s="2">
        <v>725.03</v>
      </c>
      <c r="I68" s="2">
        <v>828.95</v>
      </c>
      <c r="J68" s="2">
        <v>2182.3200000000002</v>
      </c>
      <c r="K68" s="2">
        <v>0.18</v>
      </c>
      <c r="L68" s="2">
        <f t="shared" ref="L68:L89" si="1">E68*I68</f>
        <v>17407.95</v>
      </c>
      <c r="M68" t="s">
        <v>26</v>
      </c>
      <c r="N68" t="s">
        <v>27</v>
      </c>
      <c r="O68" t="s">
        <v>31</v>
      </c>
      <c r="P68" t="s">
        <v>22</v>
      </c>
      <c r="Q68" t="s">
        <v>51</v>
      </c>
    </row>
    <row r="69" spans="1:17" x14ac:dyDescent="0.3">
      <c r="A69">
        <v>1036</v>
      </c>
      <c r="B69" s="1">
        <v>45219</v>
      </c>
      <c r="C69" t="s">
        <v>46</v>
      </c>
      <c r="D69" t="s">
        <v>17</v>
      </c>
      <c r="E69">
        <v>49</v>
      </c>
      <c r="F69" t="s">
        <v>18</v>
      </c>
      <c r="G69" s="2">
        <v>6499.94</v>
      </c>
      <c r="H69" s="2">
        <v>1247.0999999999999</v>
      </c>
      <c r="I69" s="2">
        <v>1429.44</v>
      </c>
      <c r="J69" s="2">
        <v>8934.66</v>
      </c>
      <c r="K69" s="2">
        <v>0.16</v>
      </c>
      <c r="L69" s="2">
        <f t="shared" si="1"/>
        <v>70042.559999999998</v>
      </c>
      <c r="M69" t="s">
        <v>19</v>
      </c>
      <c r="N69" t="s">
        <v>27</v>
      </c>
      <c r="O69" t="s">
        <v>21</v>
      </c>
      <c r="P69" t="s">
        <v>22</v>
      </c>
      <c r="Q69" t="s">
        <v>55</v>
      </c>
    </row>
    <row r="70" spans="1:17" x14ac:dyDescent="0.3">
      <c r="A70">
        <v>1013</v>
      </c>
      <c r="B70" s="1">
        <v>45220</v>
      </c>
      <c r="C70" t="s">
        <v>46</v>
      </c>
      <c r="D70" t="s">
        <v>24</v>
      </c>
      <c r="E70">
        <v>20</v>
      </c>
      <c r="F70" t="s">
        <v>25</v>
      </c>
      <c r="G70" s="2">
        <v>5039.07</v>
      </c>
      <c r="H70" s="2">
        <v>1533.36</v>
      </c>
      <c r="I70" s="2">
        <v>1649.74</v>
      </c>
      <c r="J70" s="2">
        <v>2327.6</v>
      </c>
      <c r="K70" s="2">
        <v>0.1</v>
      </c>
      <c r="L70" s="2">
        <f t="shared" si="1"/>
        <v>32994.800000000003</v>
      </c>
      <c r="M70" t="s">
        <v>26</v>
      </c>
      <c r="N70" t="s">
        <v>20</v>
      </c>
      <c r="O70" t="s">
        <v>31</v>
      </c>
      <c r="P70" t="s">
        <v>22</v>
      </c>
      <c r="Q70" t="s">
        <v>47</v>
      </c>
    </row>
    <row r="71" spans="1:17" x14ac:dyDescent="0.3">
      <c r="A71">
        <v>1012</v>
      </c>
      <c r="B71" s="1">
        <v>45221</v>
      </c>
      <c r="C71" t="s">
        <v>46</v>
      </c>
      <c r="D71" t="s">
        <v>17</v>
      </c>
      <c r="E71">
        <v>34</v>
      </c>
      <c r="F71" t="s">
        <v>30</v>
      </c>
      <c r="G71" s="2">
        <v>4384.88</v>
      </c>
      <c r="H71" s="2">
        <v>2462.5500000000002</v>
      </c>
      <c r="I71" s="2">
        <v>2521.77</v>
      </c>
      <c r="J71" s="2">
        <v>2013.48</v>
      </c>
      <c r="K71" s="2">
        <v>0.21</v>
      </c>
      <c r="L71" s="2">
        <f t="shared" si="1"/>
        <v>85740.18</v>
      </c>
      <c r="M71" t="s">
        <v>26</v>
      </c>
      <c r="N71" t="s">
        <v>27</v>
      </c>
      <c r="O71" t="s">
        <v>31</v>
      </c>
      <c r="P71" t="s">
        <v>36</v>
      </c>
      <c r="Q71" t="s">
        <v>55</v>
      </c>
    </row>
    <row r="72" spans="1:17" x14ac:dyDescent="0.3">
      <c r="A72">
        <v>1097</v>
      </c>
      <c r="B72" s="1">
        <v>45225</v>
      </c>
      <c r="C72" t="s">
        <v>39</v>
      </c>
      <c r="D72" t="s">
        <v>24</v>
      </c>
      <c r="E72">
        <v>27</v>
      </c>
      <c r="F72" t="s">
        <v>25</v>
      </c>
      <c r="G72" s="2">
        <v>7633.98</v>
      </c>
      <c r="H72" s="2">
        <v>4686.79</v>
      </c>
      <c r="I72" s="2">
        <v>5046.51</v>
      </c>
      <c r="J72" s="2">
        <v>9712.44</v>
      </c>
      <c r="K72" s="2">
        <v>0.05</v>
      </c>
      <c r="L72" s="2">
        <f t="shared" si="1"/>
        <v>136255.77000000002</v>
      </c>
      <c r="M72" t="s">
        <v>19</v>
      </c>
      <c r="N72" t="s">
        <v>20</v>
      </c>
      <c r="O72" t="s">
        <v>42</v>
      </c>
      <c r="P72" t="s">
        <v>36</v>
      </c>
      <c r="Q72" t="s">
        <v>40</v>
      </c>
    </row>
    <row r="73" spans="1:17" x14ac:dyDescent="0.3">
      <c r="A73">
        <v>1019</v>
      </c>
      <c r="B73" s="1">
        <v>45228</v>
      </c>
      <c r="C73" t="s">
        <v>46</v>
      </c>
      <c r="D73" t="s">
        <v>34</v>
      </c>
      <c r="E73">
        <v>31</v>
      </c>
      <c r="F73" t="s">
        <v>35</v>
      </c>
      <c r="G73" s="2">
        <v>5952.19</v>
      </c>
      <c r="H73" s="2">
        <v>333.69</v>
      </c>
      <c r="I73" s="2">
        <v>685.1</v>
      </c>
      <c r="J73" s="2">
        <v>10893.71</v>
      </c>
      <c r="K73" s="2">
        <v>0.04</v>
      </c>
      <c r="L73" s="2">
        <f t="shared" si="1"/>
        <v>21238.100000000002</v>
      </c>
      <c r="M73" t="s">
        <v>19</v>
      </c>
      <c r="N73" t="s">
        <v>27</v>
      </c>
      <c r="O73" t="s">
        <v>31</v>
      </c>
      <c r="P73" t="s">
        <v>22</v>
      </c>
      <c r="Q73" t="s">
        <v>48</v>
      </c>
    </row>
    <row r="74" spans="1:17" x14ac:dyDescent="0.3">
      <c r="A74">
        <v>1089</v>
      </c>
      <c r="B74" s="1">
        <v>45237</v>
      </c>
      <c r="C74" t="s">
        <v>33</v>
      </c>
      <c r="D74" t="s">
        <v>34</v>
      </c>
      <c r="E74">
        <v>47</v>
      </c>
      <c r="F74" t="s">
        <v>30</v>
      </c>
      <c r="G74" s="2">
        <v>2945.36</v>
      </c>
      <c r="H74" s="2">
        <v>4157.62</v>
      </c>
      <c r="I74" s="2">
        <v>4314.5600000000004</v>
      </c>
      <c r="J74" s="2">
        <v>7376.18</v>
      </c>
      <c r="K74" s="2">
        <v>0.17</v>
      </c>
      <c r="L74" s="2">
        <f t="shared" si="1"/>
        <v>202784.32</v>
      </c>
      <c r="M74" t="s">
        <v>19</v>
      </c>
      <c r="N74" t="s">
        <v>27</v>
      </c>
      <c r="O74" t="s">
        <v>31</v>
      </c>
      <c r="P74" t="s">
        <v>36</v>
      </c>
      <c r="Q74" t="s">
        <v>37</v>
      </c>
    </row>
    <row r="75" spans="1:17" x14ac:dyDescent="0.3">
      <c r="A75">
        <v>1024</v>
      </c>
      <c r="B75" s="1">
        <v>45241</v>
      </c>
      <c r="C75" t="s">
        <v>16</v>
      </c>
      <c r="D75" t="s">
        <v>34</v>
      </c>
      <c r="E75">
        <v>21</v>
      </c>
      <c r="F75" t="s">
        <v>35</v>
      </c>
      <c r="G75" s="2">
        <v>6607.8</v>
      </c>
      <c r="H75" s="2">
        <v>622.01</v>
      </c>
      <c r="I75" s="2">
        <v>641.09</v>
      </c>
      <c r="J75" s="2">
        <v>400.68</v>
      </c>
      <c r="K75" s="2">
        <v>0</v>
      </c>
      <c r="L75" s="2">
        <f t="shared" si="1"/>
        <v>13462.890000000001</v>
      </c>
      <c r="M75" t="s">
        <v>26</v>
      </c>
      <c r="N75" t="s">
        <v>20</v>
      </c>
      <c r="O75" t="s">
        <v>31</v>
      </c>
      <c r="P75" t="s">
        <v>36</v>
      </c>
      <c r="Q75" t="s">
        <v>51</v>
      </c>
    </row>
    <row r="76" spans="1:17" x14ac:dyDescent="0.3">
      <c r="A76">
        <v>1001</v>
      </c>
      <c r="B76" s="1">
        <v>45242</v>
      </c>
      <c r="C76" t="s">
        <v>39</v>
      </c>
      <c r="D76" t="s">
        <v>17</v>
      </c>
      <c r="E76">
        <v>8</v>
      </c>
      <c r="F76" t="s">
        <v>25</v>
      </c>
      <c r="G76" s="2">
        <v>715.81</v>
      </c>
      <c r="H76" s="2">
        <v>3657.91</v>
      </c>
      <c r="I76" s="2">
        <v>3729.27</v>
      </c>
      <c r="J76" s="2">
        <v>570.88</v>
      </c>
      <c r="K76" s="2">
        <v>0.09</v>
      </c>
      <c r="L76" s="2">
        <f t="shared" si="1"/>
        <v>29834.16</v>
      </c>
      <c r="M76" t="s">
        <v>26</v>
      </c>
      <c r="N76" t="s">
        <v>27</v>
      </c>
      <c r="O76" t="s">
        <v>31</v>
      </c>
      <c r="P76" t="s">
        <v>36</v>
      </c>
      <c r="Q76" t="s">
        <v>41</v>
      </c>
    </row>
    <row r="77" spans="1:17" x14ac:dyDescent="0.3">
      <c r="A77">
        <v>1033</v>
      </c>
      <c r="B77" s="1">
        <v>45244</v>
      </c>
      <c r="C77" t="s">
        <v>46</v>
      </c>
      <c r="D77" t="s">
        <v>29</v>
      </c>
      <c r="E77">
        <v>23</v>
      </c>
      <c r="F77" t="s">
        <v>30</v>
      </c>
      <c r="G77" s="2">
        <v>4011.8</v>
      </c>
      <c r="H77" s="2">
        <v>2981.5</v>
      </c>
      <c r="I77" s="2">
        <v>3360.4</v>
      </c>
      <c r="J77" s="2">
        <v>8714.7000000000007</v>
      </c>
      <c r="K77" s="2">
        <v>0.22</v>
      </c>
      <c r="L77" s="2">
        <f t="shared" si="1"/>
        <v>77289.2</v>
      </c>
      <c r="M77" t="s">
        <v>19</v>
      </c>
      <c r="N77" t="s">
        <v>20</v>
      </c>
      <c r="O77" t="s">
        <v>31</v>
      </c>
      <c r="P77" t="s">
        <v>36</v>
      </c>
      <c r="Q77" t="s">
        <v>50</v>
      </c>
    </row>
    <row r="78" spans="1:17" x14ac:dyDescent="0.3">
      <c r="A78">
        <v>1088</v>
      </c>
      <c r="B78" s="1">
        <v>45246</v>
      </c>
      <c r="C78" t="s">
        <v>16</v>
      </c>
      <c r="D78" t="s">
        <v>17</v>
      </c>
      <c r="E78">
        <v>13</v>
      </c>
      <c r="F78" t="s">
        <v>30</v>
      </c>
      <c r="G78" s="2">
        <v>8518.4500000000007</v>
      </c>
      <c r="H78" s="2">
        <v>2440.11</v>
      </c>
      <c r="I78" s="2">
        <v>2517.6</v>
      </c>
      <c r="J78" s="2">
        <v>1007.37</v>
      </c>
      <c r="K78" s="2">
        <v>0.23</v>
      </c>
      <c r="L78" s="2">
        <f t="shared" si="1"/>
        <v>32728.799999999999</v>
      </c>
      <c r="M78" t="s">
        <v>26</v>
      </c>
      <c r="N78" t="s">
        <v>27</v>
      </c>
      <c r="O78" t="s">
        <v>31</v>
      </c>
      <c r="P78" t="s">
        <v>36</v>
      </c>
      <c r="Q78" t="s">
        <v>23</v>
      </c>
    </row>
    <row r="79" spans="1:17" x14ac:dyDescent="0.3">
      <c r="A79">
        <v>1090</v>
      </c>
      <c r="B79" s="1">
        <v>45250</v>
      </c>
      <c r="C79" t="s">
        <v>39</v>
      </c>
      <c r="D79" t="s">
        <v>34</v>
      </c>
      <c r="E79">
        <v>32</v>
      </c>
      <c r="F79" t="s">
        <v>25</v>
      </c>
      <c r="G79" s="2">
        <v>267.77999999999997</v>
      </c>
      <c r="H79" s="2">
        <v>2678.99</v>
      </c>
      <c r="I79" s="2">
        <v>3152.28</v>
      </c>
      <c r="J79" s="2">
        <v>15145.28</v>
      </c>
      <c r="K79" s="2">
        <v>0.22</v>
      </c>
      <c r="L79" s="2">
        <f t="shared" si="1"/>
        <v>100872.96000000001</v>
      </c>
      <c r="M79" t="s">
        <v>19</v>
      </c>
      <c r="N79" t="s">
        <v>20</v>
      </c>
      <c r="O79" t="s">
        <v>21</v>
      </c>
      <c r="P79" t="s">
        <v>36</v>
      </c>
      <c r="Q79" t="s">
        <v>43</v>
      </c>
    </row>
    <row r="80" spans="1:17" x14ac:dyDescent="0.3">
      <c r="A80">
        <v>1014</v>
      </c>
      <c r="B80" s="1">
        <v>45252</v>
      </c>
      <c r="C80" t="s">
        <v>46</v>
      </c>
      <c r="D80" t="s">
        <v>34</v>
      </c>
      <c r="E80">
        <v>17</v>
      </c>
      <c r="F80" t="s">
        <v>35</v>
      </c>
      <c r="G80" s="2">
        <v>9762.5400000000009</v>
      </c>
      <c r="H80" s="2">
        <v>3184.65</v>
      </c>
      <c r="I80" s="2">
        <v>3204.01</v>
      </c>
      <c r="J80" s="2">
        <v>329.12</v>
      </c>
      <c r="K80" s="2">
        <v>0.2</v>
      </c>
      <c r="L80" s="2">
        <f t="shared" si="1"/>
        <v>54468.170000000006</v>
      </c>
      <c r="M80" t="s">
        <v>26</v>
      </c>
      <c r="N80" t="s">
        <v>27</v>
      </c>
      <c r="O80" t="s">
        <v>31</v>
      </c>
      <c r="P80" t="s">
        <v>22</v>
      </c>
      <c r="Q80" t="s">
        <v>48</v>
      </c>
    </row>
    <row r="81" spans="1:17" x14ac:dyDescent="0.3">
      <c r="A81">
        <v>1065</v>
      </c>
      <c r="B81" s="1">
        <v>45254</v>
      </c>
      <c r="C81" t="s">
        <v>33</v>
      </c>
      <c r="D81" t="s">
        <v>24</v>
      </c>
      <c r="E81">
        <v>18</v>
      </c>
      <c r="F81" t="s">
        <v>35</v>
      </c>
      <c r="G81" s="2">
        <v>9183.11</v>
      </c>
      <c r="H81" s="2">
        <v>1239.0899999999999</v>
      </c>
      <c r="I81" s="2">
        <v>1273.98</v>
      </c>
      <c r="J81" s="2">
        <v>628.02</v>
      </c>
      <c r="K81" s="2">
        <v>0.02</v>
      </c>
      <c r="L81" s="2">
        <f t="shared" si="1"/>
        <v>22931.64</v>
      </c>
      <c r="M81" t="s">
        <v>26</v>
      </c>
      <c r="N81" t="s">
        <v>27</v>
      </c>
      <c r="O81" t="s">
        <v>31</v>
      </c>
      <c r="P81" t="s">
        <v>36</v>
      </c>
      <c r="Q81" t="s">
        <v>56</v>
      </c>
    </row>
    <row r="82" spans="1:17" x14ac:dyDescent="0.3">
      <c r="A82">
        <v>1095</v>
      </c>
      <c r="B82" s="1">
        <v>45255</v>
      </c>
      <c r="C82" t="s">
        <v>39</v>
      </c>
      <c r="D82" t="s">
        <v>24</v>
      </c>
      <c r="E82">
        <v>37</v>
      </c>
      <c r="F82" t="s">
        <v>25</v>
      </c>
      <c r="G82" s="2">
        <v>9432.9699999999993</v>
      </c>
      <c r="H82" s="2">
        <v>407.77</v>
      </c>
      <c r="I82" s="2">
        <v>860.95</v>
      </c>
      <c r="J82" s="2">
        <v>16767.66</v>
      </c>
      <c r="K82" s="2">
        <v>0.1</v>
      </c>
      <c r="L82" s="2">
        <f t="shared" si="1"/>
        <v>31855.15</v>
      </c>
      <c r="M82" t="s">
        <v>19</v>
      </c>
      <c r="N82" t="s">
        <v>27</v>
      </c>
      <c r="O82" t="s">
        <v>42</v>
      </c>
      <c r="P82" t="s">
        <v>36</v>
      </c>
      <c r="Q82" t="s">
        <v>40</v>
      </c>
    </row>
    <row r="83" spans="1:17" x14ac:dyDescent="0.3">
      <c r="A83">
        <v>1043</v>
      </c>
      <c r="B83" s="1">
        <v>45256</v>
      </c>
      <c r="C83" t="s">
        <v>33</v>
      </c>
      <c r="D83" t="s">
        <v>29</v>
      </c>
      <c r="E83">
        <v>3</v>
      </c>
      <c r="F83" t="s">
        <v>25</v>
      </c>
      <c r="G83" s="2">
        <v>1710.73</v>
      </c>
      <c r="H83" s="2">
        <v>2009.1</v>
      </c>
      <c r="I83" s="2">
        <v>2186.42</v>
      </c>
      <c r="J83" s="2">
        <v>531.96</v>
      </c>
      <c r="K83" s="2">
        <v>0.25</v>
      </c>
      <c r="L83" s="2">
        <f t="shared" si="1"/>
        <v>6559.26</v>
      </c>
      <c r="M83" t="s">
        <v>26</v>
      </c>
      <c r="N83" t="s">
        <v>27</v>
      </c>
      <c r="O83" t="s">
        <v>31</v>
      </c>
      <c r="P83" t="s">
        <v>22</v>
      </c>
      <c r="Q83" t="s">
        <v>53</v>
      </c>
    </row>
    <row r="84" spans="1:17" x14ac:dyDescent="0.3">
      <c r="A84">
        <v>1082</v>
      </c>
      <c r="B84" s="1">
        <v>45260</v>
      </c>
      <c r="C84" t="s">
        <v>39</v>
      </c>
      <c r="D84" t="s">
        <v>29</v>
      </c>
      <c r="E84">
        <v>41</v>
      </c>
      <c r="F84" t="s">
        <v>25</v>
      </c>
      <c r="G84" s="2">
        <v>6261.9</v>
      </c>
      <c r="H84" s="2">
        <v>1196.42</v>
      </c>
      <c r="I84" s="2">
        <v>1444.97</v>
      </c>
      <c r="J84" s="2">
        <v>10190.549999999999</v>
      </c>
      <c r="K84" s="2">
        <v>0.21</v>
      </c>
      <c r="L84" s="2">
        <f t="shared" si="1"/>
        <v>59243.770000000004</v>
      </c>
      <c r="M84" t="s">
        <v>19</v>
      </c>
      <c r="N84" t="s">
        <v>20</v>
      </c>
      <c r="O84" t="s">
        <v>31</v>
      </c>
      <c r="P84" t="s">
        <v>22</v>
      </c>
      <c r="Q84" t="s">
        <v>54</v>
      </c>
    </row>
    <row r="85" spans="1:17" x14ac:dyDescent="0.3">
      <c r="A85">
        <v>1055</v>
      </c>
      <c r="B85" s="1">
        <v>45261</v>
      </c>
      <c r="C85" t="s">
        <v>44</v>
      </c>
      <c r="D85" t="s">
        <v>34</v>
      </c>
      <c r="E85">
        <v>8</v>
      </c>
      <c r="F85" t="s">
        <v>30</v>
      </c>
      <c r="G85" s="2">
        <v>4102.47</v>
      </c>
      <c r="H85" s="3">
        <v>3513</v>
      </c>
      <c r="I85" s="2">
        <v>3838.42</v>
      </c>
      <c r="J85" s="2">
        <v>2603.36</v>
      </c>
      <c r="K85" s="2">
        <v>0.13</v>
      </c>
      <c r="L85" s="2">
        <f t="shared" si="1"/>
        <v>30707.360000000001</v>
      </c>
      <c r="M85" t="s">
        <v>26</v>
      </c>
      <c r="N85" t="s">
        <v>20</v>
      </c>
      <c r="O85" t="s">
        <v>31</v>
      </c>
      <c r="P85" t="s">
        <v>22</v>
      </c>
      <c r="Q85" t="s">
        <v>49</v>
      </c>
    </row>
    <row r="86" spans="1:17" x14ac:dyDescent="0.3">
      <c r="A86">
        <v>1031</v>
      </c>
      <c r="B86" s="1">
        <v>45268</v>
      </c>
      <c r="C86" t="s">
        <v>46</v>
      </c>
      <c r="D86" t="s">
        <v>17</v>
      </c>
      <c r="E86">
        <v>22</v>
      </c>
      <c r="F86" t="s">
        <v>35</v>
      </c>
      <c r="G86" s="2">
        <v>7567.06</v>
      </c>
      <c r="H86" s="2">
        <v>4236.05</v>
      </c>
      <c r="I86" s="2">
        <v>4382.32</v>
      </c>
      <c r="J86" s="2">
        <v>3217.94</v>
      </c>
      <c r="K86" s="2">
        <v>0.2</v>
      </c>
      <c r="L86" s="2">
        <f t="shared" si="1"/>
        <v>96411.04</v>
      </c>
      <c r="M86" t="s">
        <v>26</v>
      </c>
      <c r="N86" t="s">
        <v>27</v>
      </c>
      <c r="O86" t="s">
        <v>31</v>
      </c>
      <c r="P86" t="s">
        <v>22</v>
      </c>
      <c r="Q86" t="s">
        <v>55</v>
      </c>
    </row>
    <row r="87" spans="1:17" x14ac:dyDescent="0.3">
      <c r="A87">
        <v>1045</v>
      </c>
      <c r="B87" s="1">
        <v>45275</v>
      </c>
      <c r="C87" t="s">
        <v>46</v>
      </c>
      <c r="D87" t="s">
        <v>29</v>
      </c>
      <c r="E87">
        <v>42</v>
      </c>
      <c r="F87" t="s">
        <v>18</v>
      </c>
      <c r="G87" s="2">
        <v>3517.4</v>
      </c>
      <c r="H87" s="2">
        <v>3587.74</v>
      </c>
      <c r="I87" s="2">
        <v>3745.91</v>
      </c>
      <c r="J87" s="2">
        <v>6643.14</v>
      </c>
      <c r="K87" s="2">
        <v>1</v>
      </c>
      <c r="L87" s="2">
        <f t="shared" si="1"/>
        <v>157328.22</v>
      </c>
      <c r="M87" t="s">
        <v>19</v>
      </c>
      <c r="N87" t="s">
        <v>20</v>
      </c>
      <c r="O87" t="s">
        <v>21</v>
      </c>
      <c r="P87" t="s">
        <v>22</v>
      </c>
      <c r="Q87" t="s">
        <v>50</v>
      </c>
    </row>
    <row r="88" spans="1:17" x14ac:dyDescent="0.3">
      <c r="A88">
        <v>1060</v>
      </c>
      <c r="B88" s="1">
        <v>45276</v>
      </c>
      <c r="C88" t="s">
        <v>16</v>
      </c>
      <c r="D88" t="s">
        <v>24</v>
      </c>
      <c r="E88">
        <v>44</v>
      </c>
      <c r="F88" t="s">
        <v>18</v>
      </c>
      <c r="G88" s="2">
        <v>3224.71</v>
      </c>
      <c r="H88" s="2">
        <v>3784.96</v>
      </c>
      <c r="I88" s="2">
        <v>4276.99</v>
      </c>
      <c r="J88" s="2">
        <v>21649.32</v>
      </c>
      <c r="K88" s="2">
        <v>0.06</v>
      </c>
      <c r="L88" s="2">
        <f t="shared" si="1"/>
        <v>188187.56</v>
      </c>
      <c r="M88" t="s">
        <v>19</v>
      </c>
      <c r="N88" t="s">
        <v>27</v>
      </c>
      <c r="O88" t="s">
        <v>31</v>
      </c>
      <c r="P88" t="s">
        <v>36</v>
      </c>
      <c r="Q88" t="s">
        <v>28</v>
      </c>
    </row>
    <row r="89" spans="1:17" x14ac:dyDescent="0.3">
      <c r="A89">
        <v>1003</v>
      </c>
      <c r="B89" s="1">
        <v>45291</v>
      </c>
      <c r="C89" t="s">
        <v>39</v>
      </c>
      <c r="D89" t="s">
        <v>29</v>
      </c>
      <c r="E89" s="13">
        <v>46.831278610984285</v>
      </c>
      <c r="F89" t="s">
        <v>30</v>
      </c>
      <c r="G89" s="2">
        <v>4775.59</v>
      </c>
      <c r="H89" s="2">
        <v>4190.28</v>
      </c>
      <c r="I89" s="2">
        <v>4270.6499999999996</v>
      </c>
      <c r="J89" s="2">
        <v>3000</v>
      </c>
      <c r="K89" s="2">
        <v>0.2</v>
      </c>
      <c r="L89" s="12">
        <f t="shared" si="1"/>
        <v>200000.00000000003</v>
      </c>
      <c r="M89" t="s">
        <v>26</v>
      </c>
      <c r="N89" t="s">
        <v>27</v>
      </c>
      <c r="O89" t="s">
        <v>21</v>
      </c>
      <c r="P89" t="s">
        <v>22</v>
      </c>
      <c r="Q89" t="s">
        <v>54</v>
      </c>
    </row>
  </sheetData>
  <scenarios current="0" sqref="L89">
    <scenario name="best" locked="1" count="1" user="VISWAN P N" comment="b_x000a_">
      <inputCells r="I89" val="4270.65" numFmtId="7"/>
    </scenario>
    <scenario name="worst" locked="1" count="1" user="VISWAN P N" comment="w">
      <inputCells r="I89" val="50" numFmtId="7"/>
    </scenario>
  </scenario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9F333ECB-1E7B-4B1D-8F24-1323748BC958}">
  <ds:schemaRefs/>
</ds:datastoreItem>
</file>

<file path=customXml/itemProps2.xml><?xml version="1.0" encoding="utf-8"?>
<ds:datastoreItem xmlns:ds="http://schemas.openxmlformats.org/officeDocument/2006/customXml" ds:itemID="{BE81266C-B2EF-4AD4-A049-7DFC2338AACA}">
  <ds:schemaRefs/>
</ds:datastoreItem>
</file>

<file path=customXml/itemProps3.xml><?xml version="1.0" encoding="utf-8"?>
<ds:datastoreItem xmlns:ds="http://schemas.openxmlformats.org/officeDocument/2006/customXml" ds:itemID="{B9D1030A-C578-4326-BACD-EF151F9AE9D5}">
  <ds:schemaRefs/>
</ds:datastoreItem>
</file>

<file path=customXml/itemProps4.xml><?xml version="1.0" encoding="utf-8"?>
<ds:datastoreItem xmlns:ds="http://schemas.openxmlformats.org/officeDocument/2006/customXml" ds:itemID="{86DA16C1-FF59-4F90-AF1A-B36E5D7FBB4A}">
  <ds:schemaRefs/>
</ds:datastoreItem>
</file>

<file path=customXml/itemProps5.xml><?xml version="1.0" encoding="utf-8"?>
<ds:datastoreItem xmlns:ds="http://schemas.openxmlformats.org/officeDocument/2006/customXml" ds:itemID="{5712AAC3-55AC-46FB-B0EF-968264F673E6}">
  <ds:schemaRefs/>
</ds:datastoreItem>
</file>

<file path=customXml/itemProps6.xml><?xml version="1.0" encoding="utf-8"?>
<ds:datastoreItem xmlns:ds="http://schemas.openxmlformats.org/officeDocument/2006/customXml" ds:itemID="{42F9D7CE-5FA4-42F4-99C1-A8FC20B87999}">
  <ds:schemaRefs/>
</ds:datastoreItem>
</file>

<file path=customXml/itemProps7.xml><?xml version="1.0" encoding="utf-8"?>
<ds:datastoreItem xmlns:ds="http://schemas.openxmlformats.org/officeDocument/2006/customXml" ds:itemID="{8105048B-74C1-43E9-821E-2486C2BDBD4D}">
  <ds:schemaRefs/>
</ds:datastoreItem>
</file>

<file path=customXml/itemProps8.xml><?xml version="1.0" encoding="utf-8"?>
<ds:datastoreItem xmlns:ds="http://schemas.openxmlformats.org/officeDocument/2006/customXml" ds:itemID="{4DB644BD-A013-4C60-94A6-20F9B1DEC0A7}">
  <ds:schemaRefs/>
</ds:datastoreItem>
</file>

<file path=customXml/itemProps9.xml><?xml version="1.0" encoding="utf-8"?>
<ds:datastoreItem xmlns:ds="http://schemas.openxmlformats.org/officeDocument/2006/customXml" ds:itemID="{6B6CDA61-3202-4A92-BE8D-7C71E35D2E58}">
  <ds:schemaRefs/>
</ds:datastoreItem>
</file>

<file path=customXml/itemProps10.xml><?xml version="1.0" encoding="utf-8"?>
<ds:datastoreItem xmlns:ds="http://schemas.openxmlformats.org/officeDocument/2006/customXml" ds:itemID="{2BA8670F-42B9-442A-B735-E6E4C19CEE09}">
  <ds:schemaRefs/>
</ds:datastoreItem>
</file>

<file path=customXml/itemProps11.xml><?xml version="1.0" encoding="utf-8"?>
<ds:datastoreItem xmlns:ds="http://schemas.openxmlformats.org/officeDocument/2006/customXml" ds:itemID="{FDD587FB-1331-4186-8FFB-40995DE07653}">
  <ds:schemaRefs/>
</ds:datastoreItem>
</file>

<file path=customXml/itemProps12.xml><?xml version="1.0" encoding="utf-8"?>
<ds:datastoreItem xmlns:ds="http://schemas.openxmlformats.org/officeDocument/2006/customXml" ds:itemID="{32135A78-DC40-486E-A755-C85B9EE70F58}">
  <ds:schemaRefs/>
</ds:datastoreItem>
</file>

<file path=customXml/itemProps13.xml><?xml version="1.0" encoding="utf-8"?>
<ds:datastoreItem xmlns:ds="http://schemas.openxmlformats.org/officeDocument/2006/customXml" ds:itemID="{554ED905-DD62-4427-A9FD-6A2CDF5EC5CF}">
  <ds:schemaRefs/>
</ds:datastoreItem>
</file>

<file path=customXml/itemProps14.xml><?xml version="1.0" encoding="utf-8"?>
<ds:datastoreItem xmlns:ds="http://schemas.openxmlformats.org/officeDocument/2006/customXml" ds:itemID="{193079C6-54C6-4096-925F-AFD55EEF53EB}">
  <ds:schemaRefs/>
</ds:datastoreItem>
</file>

<file path=customXml/itemProps15.xml><?xml version="1.0" encoding="utf-8"?>
<ds:datastoreItem xmlns:ds="http://schemas.openxmlformats.org/officeDocument/2006/customXml" ds:itemID="{C16FC3B5-F542-4738-A6C1-3089A158978D}">
  <ds:schemaRefs/>
</ds:datastoreItem>
</file>

<file path=customXml/itemProps16.xml><?xml version="1.0" encoding="utf-8"?>
<ds:datastoreItem xmlns:ds="http://schemas.openxmlformats.org/officeDocument/2006/customXml" ds:itemID="{C0AE91D6-34C9-4E18-BDA4-95897C1E128B}">
  <ds:schemaRefs/>
</ds:datastoreItem>
</file>

<file path=customXml/itemProps17.xml><?xml version="1.0" encoding="utf-8"?>
<ds:datastoreItem xmlns:ds="http://schemas.openxmlformats.org/officeDocument/2006/customXml" ds:itemID="{FD6E8418-222F-47D6-839E-BBCB5C45547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 data proj</vt:lpstr>
      <vt:lpstr>macro</vt:lpstr>
      <vt:lpstr>pv1</vt:lpstr>
      <vt:lpstr>dash</vt:lpstr>
      <vt:lpstr>pv2</vt:lpstr>
      <vt:lpstr>pv3</vt:lpstr>
      <vt:lpstr>pv4</vt:lpstr>
      <vt:lpstr>pv5</vt:lpstr>
      <vt:lpstr>pv6</vt:lpstr>
      <vt:lpstr>table</vt:lpstr>
      <vt:lpstr>Scenario Summary</vt:lpstr>
      <vt:lpstr>goalseek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VISWAN P N</dc:creator>
  <cp:lastModifiedBy>VISWAN P N</cp:lastModifiedBy>
  <cp:lastPrinted>2025-11-26T21:04:38Z</cp:lastPrinted>
  <dcterms:created xsi:type="dcterms:W3CDTF">2025-11-26T19:12:09Z</dcterms:created>
  <dcterms:modified xsi:type="dcterms:W3CDTF">2025-11-28T05:25:19Z</dcterms:modified>
</cp:coreProperties>
</file>